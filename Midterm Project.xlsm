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org\Desktop\Programing\SQL\Midterm Project\"/>
    </mc:Choice>
  </mc:AlternateContent>
  <xr:revisionPtr revIDLastSave="0" documentId="13_ncr:1_{518F1299-E84D-41C0-9D68-FCFF4167DD31}" xr6:coauthVersionLast="45" xr6:coauthVersionMax="45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__hidden" sheetId="38" state="veryHidden" r:id="rId1"/>
    <sheet name="Orders" sheetId="53" r:id="rId2"/>
    <sheet name="Customers" sheetId="54" r:id="rId3"/>
    <sheet name="Consoles" sheetId="60" r:id="rId4"/>
    <sheet name="Games" sheetId="55" r:id="rId5"/>
    <sheet name="Finance" sheetId="56" r:id="rId6"/>
    <sheet name="Publishers" sheetId="61" r:id="rId7"/>
    <sheet name="Employees" sheetId="57" r:id="rId8"/>
    <sheet name="Retail_info" sheetId="62" r:id="rId9"/>
    <sheet name="Branches" sheetId="58" r:id="rId10"/>
    <sheet name="Warehouses" sheetId="59" r:id="rId11"/>
  </sheets>
  <functionGroups builtInGroupCount="19"/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81029"/>
</workbook>
</file>

<file path=xl/calcChain.xml><?xml version="1.0" encoding="utf-8"?>
<calcChain xmlns="http://schemas.openxmlformats.org/spreadsheetml/2006/main">
  <c r="Q4" i="53" l="1"/>
  <c r="K78" i="53"/>
  <c r="C65" i="53"/>
  <c r="F14" i="53"/>
  <c r="J96" i="53"/>
  <c r="F37" i="53"/>
  <c r="C72" i="53"/>
  <c r="H65" i="53"/>
  <c r="Q6" i="53"/>
  <c r="K5" i="53"/>
  <c r="J99" i="53"/>
  <c r="B34" i="53"/>
  <c r="I4" i="53"/>
  <c r="C70" i="53"/>
  <c r="K36" i="53"/>
  <c r="P61" i="53"/>
  <c r="Q27" i="53"/>
  <c r="J70" i="53"/>
  <c r="K55" i="53"/>
  <c r="K70" i="53"/>
  <c r="C13" i="53"/>
  <c r="I31" i="53"/>
  <c r="J101" i="53"/>
  <c r="J91" i="53"/>
  <c r="K91" i="53"/>
  <c r="I61" i="53"/>
  <c r="H2" i="53"/>
  <c r="C66" i="53"/>
  <c r="I95" i="53"/>
  <c r="B24" i="53"/>
  <c r="G54" i="53"/>
  <c r="Q58" i="53"/>
  <c r="J38" i="53"/>
  <c r="J18" i="53"/>
  <c r="G34" i="53"/>
  <c r="I93" i="53"/>
  <c r="P93" i="53"/>
  <c r="J11" i="53"/>
  <c r="J30" i="53"/>
  <c r="Q63" i="53"/>
  <c r="G55" i="53"/>
  <c r="K23" i="53"/>
  <c r="H22" i="53"/>
  <c r="F87" i="53"/>
  <c r="J73" i="53"/>
  <c r="F97" i="53"/>
  <c r="Q82" i="53"/>
  <c r="K35" i="53"/>
  <c r="B54" i="53"/>
  <c r="C2" i="53"/>
  <c r="H3" i="53"/>
  <c r="P99" i="53"/>
  <c r="I52" i="53"/>
  <c r="K61" i="53"/>
  <c r="C90" i="53"/>
  <c r="F101" i="53"/>
  <c r="B90" i="53"/>
  <c r="G83" i="53"/>
  <c r="B75" i="53"/>
  <c r="J78" i="53"/>
  <c r="B50" i="53"/>
  <c r="Q33" i="53"/>
  <c r="B35" i="53"/>
  <c r="I92" i="53"/>
  <c r="K21" i="53"/>
  <c r="H5" i="53"/>
  <c r="B59" i="53"/>
  <c r="G28" i="53"/>
  <c r="K16" i="53"/>
  <c r="Q74" i="53"/>
  <c r="J97" i="53"/>
  <c r="P27" i="53"/>
  <c r="G36" i="53"/>
  <c r="C84" i="53"/>
  <c r="K2" i="53"/>
  <c r="I90" i="53"/>
  <c r="H53" i="53"/>
  <c r="F88" i="53"/>
  <c r="F16" i="53"/>
  <c r="B44" i="53"/>
  <c r="B21" i="53"/>
  <c r="J92" i="53"/>
  <c r="K85" i="53"/>
  <c r="I17" i="53"/>
  <c r="B30" i="53"/>
  <c r="B17" i="53"/>
  <c r="K18" i="53"/>
  <c r="F67" i="53"/>
  <c r="K45" i="53"/>
  <c r="G10" i="53"/>
  <c r="H89" i="53"/>
  <c r="H78" i="53"/>
  <c r="I101" i="53"/>
  <c r="C69" i="53"/>
  <c r="B20" i="53"/>
  <c r="P20" i="53"/>
  <c r="H79" i="53"/>
  <c r="P74" i="53"/>
  <c r="F80" i="53"/>
  <c r="I72" i="53"/>
  <c r="H99" i="53"/>
  <c r="P45" i="53"/>
  <c r="H9" i="53"/>
  <c r="B6" i="53"/>
  <c r="Q32" i="53"/>
  <c r="J83" i="53"/>
  <c r="G38" i="53"/>
  <c r="K76" i="53"/>
  <c r="F9" i="53"/>
  <c r="B78" i="53"/>
  <c r="G49" i="53"/>
  <c r="P44" i="53"/>
  <c r="Q24" i="53"/>
  <c r="F39" i="53"/>
  <c r="B82" i="53"/>
  <c r="H66" i="53"/>
  <c r="G101" i="53"/>
  <c r="B67" i="53"/>
  <c r="F20" i="53"/>
  <c r="H37" i="53"/>
  <c r="Q79" i="53"/>
  <c r="P12" i="53"/>
  <c r="I81" i="53"/>
  <c r="C16" i="53"/>
  <c r="P97" i="53"/>
  <c r="K97" i="53"/>
  <c r="P21" i="53"/>
  <c r="Q52" i="53"/>
  <c r="G40" i="53"/>
  <c r="K13" i="53"/>
  <c r="K73" i="53"/>
  <c r="I26" i="53"/>
  <c r="I51" i="53"/>
  <c r="J35" i="53"/>
  <c r="Q5" i="53"/>
  <c r="Q11" i="53"/>
  <c r="G63" i="53"/>
  <c r="C45" i="53"/>
  <c r="P84" i="53"/>
  <c r="P2" i="53"/>
  <c r="G27" i="53"/>
  <c r="J55" i="53"/>
  <c r="F57" i="53"/>
  <c r="I80" i="53"/>
  <c r="C58" i="53"/>
  <c r="J7" i="53"/>
  <c r="F58" i="53"/>
  <c r="I36" i="53"/>
  <c r="F42" i="53"/>
  <c r="K99" i="53"/>
  <c r="Q35" i="53"/>
  <c r="C88" i="53"/>
  <c r="J52" i="53"/>
  <c r="F82" i="53"/>
  <c r="J17" i="53"/>
  <c r="F41" i="53"/>
  <c r="I84" i="53"/>
  <c r="J10" i="53"/>
  <c r="I14" i="53"/>
  <c r="H43" i="53"/>
  <c r="C56" i="53"/>
  <c r="H12" i="53"/>
  <c r="K30" i="53"/>
  <c r="P15" i="53"/>
  <c r="K17" i="53"/>
  <c r="Q89" i="53"/>
  <c r="K27" i="53"/>
  <c r="K58" i="53"/>
  <c r="F31" i="53"/>
  <c r="F100" i="53"/>
  <c r="H76" i="53"/>
  <c r="I42" i="53"/>
  <c r="G52" i="53"/>
  <c r="Q17" i="53"/>
  <c r="J54" i="53"/>
  <c r="K12" i="53"/>
  <c r="P53" i="53"/>
  <c r="I2" i="53"/>
  <c r="C37" i="53"/>
  <c r="P67" i="53"/>
  <c r="J36" i="53"/>
  <c r="B60" i="53"/>
  <c r="K92" i="53"/>
  <c r="K11" i="53"/>
  <c r="I96" i="53"/>
  <c r="G8" i="53"/>
  <c r="C41" i="53"/>
  <c r="B51" i="53"/>
  <c r="I37" i="53"/>
  <c r="B38" i="53"/>
  <c r="Q18" i="53"/>
  <c r="P41" i="53"/>
  <c r="C89" i="53"/>
  <c r="G71" i="53"/>
  <c r="P88" i="53"/>
  <c r="Q68" i="53"/>
  <c r="H28" i="53"/>
  <c r="B72" i="53"/>
  <c r="H52" i="53"/>
  <c r="K74" i="53"/>
  <c r="G85" i="53"/>
  <c r="I10" i="53"/>
  <c r="Q96" i="53"/>
  <c r="I12" i="53"/>
  <c r="I73" i="53"/>
  <c r="I40" i="53"/>
  <c r="C79" i="53"/>
  <c r="H32" i="53"/>
  <c r="P92" i="53"/>
  <c r="Q81" i="53"/>
  <c r="Q10" i="53"/>
  <c r="P28" i="53"/>
  <c r="B10" i="53"/>
  <c r="F45" i="53"/>
  <c r="F11" i="53"/>
  <c r="K25" i="53"/>
  <c r="K41" i="53"/>
  <c r="P17" i="53"/>
  <c r="Q15" i="53"/>
  <c r="F77" i="53"/>
  <c r="I78" i="53"/>
  <c r="C71" i="53"/>
  <c r="G32" i="53"/>
  <c r="F18" i="53"/>
  <c r="K90" i="53"/>
  <c r="B84" i="53"/>
  <c r="P90" i="53"/>
  <c r="H55" i="53"/>
  <c r="P101" i="53"/>
  <c r="P32" i="53"/>
  <c r="K57" i="53"/>
  <c r="I83" i="53"/>
  <c r="F83" i="53"/>
  <c r="Q25" i="53"/>
  <c r="C32" i="53"/>
  <c r="H68" i="53"/>
  <c r="G41" i="53"/>
  <c r="C3" i="53"/>
  <c r="G89" i="53"/>
  <c r="C11" i="53"/>
  <c r="I20" i="53"/>
  <c r="Q14" i="53"/>
  <c r="J20" i="53"/>
  <c r="K4" i="53"/>
  <c r="B48" i="53"/>
  <c r="B73" i="53"/>
  <c r="G19" i="53"/>
  <c r="K15" i="53"/>
  <c r="I27" i="53"/>
  <c r="F44" i="53"/>
  <c r="F10" i="53"/>
  <c r="H70" i="53"/>
  <c r="P55" i="53"/>
  <c r="C28" i="53"/>
  <c r="H45" i="53"/>
  <c r="G96" i="53"/>
  <c r="Q38" i="53"/>
  <c r="H84" i="53"/>
  <c r="H62" i="53"/>
  <c r="H60" i="53"/>
  <c r="H90" i="53"/>
  <c r="P77" i="53"/>
  <c r="G39" i="53"/>
  <c r="J49" i="53"/>
  <c r="F12" i="53"/>
  <c r="C23" i="53"/>
  <c r="C53" i="53"/>
  <c r="G30" i="53"/>
  <c r="F23" i="53"/>
  <c r="I18" i="53"/>
  <c r="B70" i="53"/>
  <c r="Q59" i="53"/>
  <c r="P82" i="53"/>
  <c r="F60" i="53"/>
  <c r="H94" i="53"/>
  <c r="J94" i="53"/>
  <c r="C54" i="53"/>
  <c r="B100" i="53"/>
  <c r="G90" i="53"/>
  <c r="H58" i="53"/>
  <c r="J50" i="53"/>
  <c r="F78" i="53"/>
  <c r="F38" i="53"/>
  <c r="C17" i="53"/>
  <c r="G48" i="53"/>
  <c r="C42" i="53"/>
  <c r="Q57" i="53"/>
  <c r="J84" i="53"/>
  <c r="C14" i="53"/>
  <c r="G14" i="53"/>
  <c r="F52" i="53"/>
  <c r="C52" i="53"/>
  <c r="K62" i="53"/>
  <c r="Q20" i="53"/>
  <c r="P26" i="53"/>
  <c r="B87" i="53"/>
  <c r="Q44" i="53"/>
  <c r="J2" i="53"/>
  <c r="H48" i="53"/>
  <c r="F95" i="53"/>
  <c r="G5" i="53"/>
  <c r="Q100" i="53"/>
  <c r="P65" i="53"/>
  <c r="B8" i="53"/>
  <c r="J65" i="53"/>
  <c r="Q37" i="53"/>
  <c r="G99" i="53"/>
  <c r="J27" i="53"/>
  <c r="C61" i="53"/>
  <c r="Q65" i="53"/>
  <c r="P23" i="53"/>
  <c r="K79" i="53"/>
  <c r="C64" i="53"/>
  <c r="P42" i="53"/>
  <c r="Q41" i="53"/>
  <c r="G95" i="53"/>
  <c r="K82" i="53"/>
  <c r="G12" i="53"/>
  <c r="F15" i="53"/>
  <c r="J64" i="53"/>
  <c r="K84" i="53"/>
  <c r="I16" i="53"/>
  <c r="Q43" i="53"/>
  <c r="C75" i="53"/>
  <c r="B9" i="53"/>
  <c r="H47" i="53"/>
  <c r="C101" i="53"/>
  <c r="G13" i="53"/>
  <c r="C82" i="53"/>
  <c r="G17" i="53"/>
  <c r="G87" i="53"/>
  <c r="J80" i="53"/>
  <c r="J45" i="53"/>
  <c r="B58" i="53"/>
  <c r="P59" i="53"/>
  <c r="F75" i="53"/>
  <c r="I33" i="53"/>
  <c r="Q46" i="53"/>
  <c r="F90" i="53"/>
  <c r="C73" i="53"/>
  <c r="G58" i="53"/>
  <c r="H97" i="53"/>
  <c r="K59" i="53"/>
  <c r="H91" i="53"/>
  <c r="P6" i="53"/>
  <c r="Q51" i="53"/>
  <c r="H83" i="53"/>
  <c r="F92" i="53"/>
  <c r="K42" i="53"/>
  <c r="I70" i="53"/>
  <c r="I49" i="53"/>
  <c r="P72" i="53"/>
  <c r="B96" i="53"/>
  <c r="K46" i="53"/>
  <c r="J5" i="53"/>
  <c r="J25" i="53"/>
  <c r="H88" i="53"/>
  <c r="K40" i="53"/>
  <c r="I54" i="53"/>
  <c r="G22" i="53"/>
  <c r="Q75" i="53"/>
  <c r="P10" i="53"/>
  <c r="H42" i="53"/>
  <c r="C15" i="53"/>
  <c r="F99" i="53"/>
  <c r="I66" i="53"/>
  <c r="P89" i="53"/>
  <c r="Q54" i="53"/>
  <c r="F84" i="53"/>
  <c r="G75" i="53"/>
  <c r="H34" i="53"/>
  <c r="B88" i="53"/>
  <c r="P30" i="53"/>
  <c r="B46" i="53"/>
  <c r="H80" i="53"/>
  <c r="Q61" i="53"/>
  <c r="J43" i="53"/>
  <c r="G11" i="53"/>
  <c r="J74" i="53"/>
  <c r="J40" i="53"/>
  <c r="G3" i="53"/>
  <c r="J41" i="53"/>
  <c r="J23" i="53"/>
  <c r="H67" i="53"/>
  <c r="K20" i="53"/>
  <c r="G9" i="53"/>
  <c r="G23" i="53"/>
  <c r="J85" i="53"/>
  <c r="H92" i="53"/>
  <c r="B99" i="53"/>
  <c r="Q7" i="53"/>
  <c r="P31" i="53"/>
  <c r="P7" i="53"/>
  <c r="G77" i="53"/>
  <c r="H26" i="53"/>
  <c r="I65" i="53"/>
  <c r="B16" i="53"/>
  <c r="B76" i="53"/>
  <c r="F36" i="53"/>
  <c r="B94" i="53"/>
  <c r="Q66" i="53"/>
  <c r="P19" i="53"/>
  <c r="I39" i="53"/>
  <c r="I46" i="53"/>
  <c r="F5" i="53"/>
  <c r="K77" i="53"/>
  <c r="B26" i="53"/>
  <c r="K10" i="53"/>
  <c r="K80" i="53"/>
  <c r="J16" i="53"/>
  <c r="G97" i="53"/>
  <c r="I38" i="53"/>
  <c r="H73" i="53"/>
  <c r="C98" i="53"/>
  <c r="I9" i="53"/>
  <c r="Q12" i="53"/>
  <c r="I43" i="53"/>
  <c r="G37" i="53"/>
  <c r="K63" i="53"/>
  <c r="G66" i="53"/>
  <c r="G4" i="53"/>
  <c r="I35" i="53"/>
  <c r="I100" i="53"/>
  <c r="P63" i="53"/>
  <c r="B86" i="53"/>
  <c r="K100" i="53"/>
  <c r="G80" i="53"/>
  <c r="I56" i="53"/>
  <c r="J76" i="53"/>
  <c r="B13" i="53"/>
  <c r="Q28" i="53"/>
  <c r="I22" i="53"/>
  <c r="G92" i="53"/>
  <c r="G88" i="53"/>
  <c r="P49" i="53"/>
  <c r="P50" i="53"/>
  <c r="H100" i="53"/>
  <c r="C4" i="53"/>
  <c r="Q55" i="53"/>
  <c r="C44" i="53"/>
  <c r="H33" i="53"/>
  <c r="H54" i="53"/>
  <c r="F3" i="53"/>
  <c r="I44" i="53"/>
  <c r="C30" i="53"/>
  <c r="K88" i="53"/>
  <c r="B5" i="53"/>
  <c r="F46" i="53"/>
  <c r="K93" i="53"/>
  <c r="B18" i="53"/>
  <c r="P29" i="53"/>
  <c r="P68" i="53"/>
  <c r="G2" i="53"/>
  <c r="Q53" i="53"/>
  <c r="F59" i="53"/>
  <c r="C33" i="53"/>
  <c r="G93" i="53"/>
  <c r="P85" i="53"/>
  <c r="P33" i="53"/>
  <c r="B74" i="53"/>
  <c r="J34" i="53"/>
  <c r="G78" i="53"/>
  <c r="I60" i="53"/>
  <c r="G43" i="53"/>
  <c r="K94" i="53"/>
  <c r="C25" i="53"/>
  <c r="P52" i="53"/>
  <c r="J88" i="53"/>
  <c r="Q21" i="53"/>
  <c r="F51" i="53"/>
  <c r="B65" i="53"/>
  <c r="C99" i="53"/>
  <c r="B80" i="53"/>
  <c r="F17" i="53"/>
  <c r="J9" i="53"/>
  <c r="G51" i="53"/>
  <c r="Q62" i="53"/>
  <c r="C68" i="53"/>
  <c r="G91" i="53"/>
  <c r="J46" i="53"/>
  <c r="B33" i="53"/>
  <c r="C96" i="53"/>
  <c r="K54" i="53"/>
  <c r="G60" i="53"/>
  <c r="H75" i="53"/>
  <c r="C80" i="53"/>
  <c r="P87" i="53"/>
  <c r="P3" i="53"/>
  <c r="H19" i="53"/>
  <c r="P57" i="53"/>
  <c r="H57" i="53"/>
  <c r="Q97" i="53"/>
  <c r="J62" i="53"/>
  <c r="B29" i="53"/>
  <c r="P96" i="53"/>
  <c r="I87" i="53"/>
  <c r="I62" i="53"/>
  <c r="G21" i="53"/>
  <c r="C92" i="53"/>
  <c r="I74" i="53"/>
  <c r="H16" i="53"/>
  <c r="K71" i="53"/>
  <c r="I71" i="53"/>
  <c r="C62" i="53"/>
  <c r="Q101" i="53"/>
  <c r="B11" i="53"/>
  <c r="F32" i="53"/>
  <c r="C63" i="53"/>
  <c r="Q49" i="53"/>
  <c r="H50" i="53"/>
  <c r="F40" i="53"/>
  <c r="Q13" i="53"/>
  <c r="H24" i="53"/>
  <c r="C34" i="53"/>
  <c r="Q77" i="53"/>
  <c r="B32" i="53"/>
  <c r="H93" i="53"/>
  <c r="K66" i="53"/>
  <c r="F81" i="53"/>
  <c r="C78" i="53"/>
  <c r="B53" i="53"/>
  <c r="J28" i="53"/>
  <c r="P56" i="53"/>
  <c r="H46" i="53"/>
  <c r="F43" i="53"/>
  <c r="P98" i="53"/>
  <c r="C100" i="53"/>
  <c r="I86" i="53"/>
  <c r="C50" i="53"/>
  <c r="Q56" i="53"/>
  <c r="B63" i="53"/>
  <c r="I69" i="53"/>
  <c r="K44" i="53"/>
  <c r="F53" i="53"/>
  <c r="B28" i="53"/>
  <c r="J67" i="53"/>
  <c r="Q95" i="53"/>
  <c r="Q48" i="53"/>
  <c r="B79" i="53"/>
  <c r="B57" i="53"/>
  <c r="F96" i="53"/>
  <c r="F79" i="53"/>
  <c r="B25" i="53"/>
  <c r="F6" i="53"/>
  <c r="F13" i="53"/>
  <c r="J90" i="53"/>
  <c r="P24" i="53"/>
  <c r="H25" i="53"/>
  <c r="C9" i="53"/>
  <c r="F70" i="53"/>
  <c r="B71" i="53"/>
  <c r="F89" i="53"/>
  <c r="Q92" i="53"/>
  <c r="P11" i="53"/>
  <c r="J33" i="53"/>
  <c r="F69" i="53"/>
  <c r="J44" i="53"/>
  <c r="P48" i="53"/>
  <c r="F85" i="53"/>
  <c r="K14" i="53"/>
  <c r="P37" i="53"/>
  <c r="J15" i="53"/>
  <c r="I58" i="53"/>
  <c r="H39" i="53"/>
  <c r="P95" i="53"/>
  <c r="G56" i="53"/>
  <c r="I5" i="53"/>
  <c r="Q29" i="53"/>
  <c r="J3" i="53"/>
  <c r="I47" i="53"/>
  <c r="H77" i="53"/>
  <c r="P81" i="53"/>
  <c r="J14" i="53"/>
  <c r="F27" i="53"/>
  <c r="C77" i="53"/>
  <c r="Q88" i="53"/>
  <c r="F25" i="53"/>
  <c r="C76" i="53"/>
  <c r="B89" i="53"/>
  <c r="K22" i="53"/>
  <c r="B7" i="53"/>
  <c r="G33" i="53"/>
  <c r="Q91" i="53"/>
  <c r="P22" i="53"/>
  <c r="J69" i="53"/>
  <c r="I23" i="53"/>
  <c r="K53" i="53"/>
  <c r="J56" i="53"/>
  <c r="P80" i="53"/>
  <c r="H36" i="53"/>
  <c r="Q83" i="53"/>
  <c r="F68" i="53"/>
  <c r="P5" i="53"/>
  <c r="H51" i="53"/>
  <c r="H38" i="53"/>
  <c r="C97" i="53"/>
  <c r="G67" i="53"/>
  <c r="B36" i="53"/>
  <c r="F64" i="53"/>
  <c r="B81" i="53"/>
  <c r="K50" i="53"/>
  <c r="Q2" i="53"/>
  <c r="G72" i="53"/>
  <c r="Q23" i="53"/>
  <c r="F86" i="53"/>
  <c r="G76" i="53"/>
  <c r="J8" i="53"/>
  <c r="J68" i="53"/>
  <c r="B42" i="53"/>
  <c r="F33" i="53"/>
  <c r="F93" i="53"/>
  <c r="H64" i="53"/>
  <c r="H96" i="53"/>
  <c r="J12" i="53"/>
  <c r="Q3" i="53"/>
  <c r="C26" i="53"/>
  <c r="P8" i="53"/>
  <c r="C85" i="53"/>
  <c r="J31" i="53"/>
  <c r="C31" i="53"/>
  <c r="F21" i="53"/>
  <c r="P51" i="53"/>
  <c r="B61" i="53"/>
  <c r="B3" i="53"/>
  <c r="K81" i="53"/>
  <c r="K98" i="53"/>
  <c r="C51" i="53"/>
  <c r="H6" i="53"/>
  <c r="C6" i="53"/>
  <c r="Q84" i="53"/>
  <c r="F2" i="53"/>
  <c r="I15" i="53"/>
  <c r="C18" i="53"/>
  <c r="H23" i="53"/>
  <c r="F91" i="53"/>
  <c r="F8" i="53"/>
  <c r="I29" i="53"/>
  <c r="Q31" i="53"/>
  <c r="C67" i="53"/>
  <c r="C39" i="53"/>
  <c r="F47" i="53"/>
  <c r="F7" i="53"/>
  <c r="J51" i="53"/>
  <c r="K69" i="53"/>
  <c r="P75" i="53"/>
  <c r="G42" i="53"/>
  <c r="I67" i="53"/>
  <c r="B27" i="53"/>
  <c r="B47" i="53"/>
  <c r="G16" i="53"/>
  <c r="K3" i="53"/>
  <c r="G73" i="53"/>
  <c r="Q87" i="53"/>
  <c r="G24" i="53"/>
  <c r="P47" i="53"/>
  <c r="I6" i="53"/>
  <c r="B55" i="53"/>
  <c r="G50" i="53"/>
  <c r="I48" i="53"/>
  <c r="P36" i="53"/>
  <c r="I21" i="53"/>
  <c r="I91" i="53"/>
  <c r="J95" i="53"/>
  <c r="F98" i="53"/>
  <c r="C22" i="53"/>
  <c r="C24" i="53"/>
  <c r="C93" i="53"/>
  <c r="Q94" i="53"/>
  <c r="K101" i="53"/>
  <c r="H63" i="53"/>
  <c r="B49" i="53"/>
  <c r="C46" i="53"/>
  <c r="K89" i="53"/>
  <c r="J39" i="53"/>
  <c r="G82" i="53"/>
  <c r="K26" i="53"/>
  <c r="J66" i="53"/>
  <c r="H81" i="53"/>
  <c r="K28" i="53"/>
  <c r="F71" i="53"/>
  <c r="K83" i="53"/>
  <c r="H71" i="53"/>
  <c r="Q45" i="53"/>
  <c r="F54" i="53"/>
  <c r="C86" i="53"/>
  <c r="H35" i="53"/>
  <c r="B77" i="53"/>
  <c r="J58" i="53"/>
  <c r="B93" i="53"/>
  <c r="Q76" i="53"/>
  <c r="Q40" i="53"/>
  <c r="F29" i="53"/>
  <c r="H69" i="53"/>
  <c r="B95" i="53"/>
  <c r="B39" i="53"/>
  <c r="C48" i="53"/>
  <c r="F30" i="53"/>
  <c r="G64" i="53"/>
  <c r="B23" i="53"/>
  <c r="G25" i="53"/>
  <c r="I75" i="53"/>
  <c r="K37" i="53"/>
  <c r="J48" i="53"/>
  <c r="C60" i="53"/>
  <c r="J89" i="53"/>
  <c r="I89" i="53"/>
  <c r="P14" i="53"/>
  <c r="P13" i="53"/>
  <c r="K75" i="53"/>
  <c r="Q78" i="53"/>
  <c r="F56" i="53"/>
  <c r="K8" i="53"/>
  <c r="K51" i="53"/>
  <c r="H61" i="53"/>
  <c r="B62" i="53"/>
  <c r="F66" i="53"/>
  <c r="Q16" i="53"/>
  <c r="P9" i="53"/>
  <c r="K64" i="53"/>
  <c r="K43" i="53"/>
  <c r="C87" i="53"/>
  <c r="J60" i="53"/>
  <c r="F61" i="53"/>
  <c r="K6" i="53"/>
  <c r="Q34" i="53"/>
  <c r="K9" i="53"/>
  <c r="J53" i="53"/>
  <c r="B40" i="53"/>
  <c r="F76" i="53"/>
  <c r="C12" i="53"/>
  <c r="J100" i="53"/>
  <c r="B66" i="53"/>
  <c r="Q39" i="53"/>
  <c r="B85" i="53"/>
  <c r="I53" i="53"/>
  <c r="P100" i="53"/>
  <c r="K31" i="53"/>
  <c r="J47" i="53"/>
  <c r="B4" i="53"/>
  <c r="I24" i="53"/>
  <c r="H85" i="53"/>
  <c r="I98" i="53"/>
  <c r="C38" i="53"/>
  <c r="F55" i="53"/>
  <c r="K87" i="53"/>
  <c r="J82" i="53"/>
  <c r="J21" i="53"/>
  <c r="Q70" i="53"/>
  <c r="I11" i="53"/>
  <c r="G6" i="53"/>
  <c r="C21" i="53"/>
  <c r="K32" i="53"/>
  <c r="P58" i="53"/>
  <c r="J75" i="53"/>
  <c r="P64" i="53"/>
  <c r="H18" i="53"/>
  <c r="H27" i="53"/>
  <c r="G74" i="53"/>
  <c r="J42" i="53"/>
  <c r="C7" i="53"/>
  <c r="P43" i="53"/>
  <c r="P76" i="53"/>
  <c r="Q47" i="53"/>
  <c r="K48" i="53"/>
  <c r="B83" i="53"/>
  <c r="G68" i="53"/>
  <c r="K33" i="53"/>
  <c r="B56" i="53"/>
  <c r="P25" i="53"/>
  <c r="B68" i="53"/>
  <c r="F4" i="53"/>
  <c r="H13" i="53"/>
  <c r="B52" i="53"/>
  <c r="F19" i="53"/>
  <c r="H14" i="53"/>
  <c r="I8" i="53"/>
  <c r="I30" i="53"/>
  <c r="Q42" i="53"/>
  <c r="C74" i="53"/>
  <c r="H31" i="53"/>
  <c r="P78" i="53"/>
  <c r="K7" i="53"/>
  <c r="K67" i="53"/>
  <c r="P70" i="53"/>
  <c r="H44" i="53"/>
  <c r="Q86" i="53"/>
  <c r="K49" i="53"/>
  <c r="I3" i="53"/>
  <c r="C27" i="53"/>
  <c r="F73" i="53"/>
  <c r="F28" i="53"/>
  <c r="I59" i="53"/>
  <c r="I82" i="53"/>
  <c r="F49" i="53"/>
  <c r="H41" i="53"/>
  <c r="J71" i="53"/>
  <c r="H8" i="53"/>
  <c r="Q98" i="53"/>
  <c r="J19" i="53"/>
  <c r="K19" i="53"/>
  <c r="I64" i="53"/>
  <c r="F26" i="53"/>
  <c r="C94" i="53"/>
  <c r="I77" i="53"/>
  <c r="I85" i="53"/>
  <c r="G94" i="53"/>
  <c r="I97" i="53"/>
  <c r="J79" i="53"/>
  <c r="K68" i="53"/>
  <c r="I94" i="53"/>
  <c r="I28" i="53"/>
  <c r="B22" i="53"/>
  <c r="K56" i="53"/>
  <c r="B41" i="53"/>
  <c r="H29" i="53"/>
  <c r="Q93" i="53"/>
  <c r="F35" i="53"/>
  <c r="F63" i="53"/>
  <c r="G20" i="53"/>
  <c r="K39" i="53"/>
  <c r="P66" i="53"/>
  <c r="J6" i="53"/>
  <c r="C81" i="53"/>
  <c r="Q36" i="53"/>
  <c r="K72" i="53"/>
  <c r="F34" i="53"/>
  <c r="B2" i="53"/>
  <c r="I13" i="53"/>
  <c r="C5" i="53"/>
  <c r="I57" i="53"/>
  <c r="P73" i="53"/>
  <c r="H56" i="53"/>
  <c r="H74" i="53"/>
  <c r="K29" i="53"/>
  <c r="G7" i="53"/>
  <c r="B43" i="53"/>
  <c r="P39" i="53"/>
  <c r="P86" i="53"/>
  <c r="Q80" i="53"/>
  <c r="G61" i="53"/>
  <c r="J93" i="53"/>
  <c r="C19" i="53"/>
  <c r="C55" i="53"/>
  <c r="K65" i="53"/>
  <c r="P60" i="53"/>
  <c r="H11" i="53"/>
  <c r="Q72" i="53"/>
  <c r="K86" i="53"/>
  <c r="J77" i="53"/>
  <c r="P16" i="53"/>
  <c r="G45" i="53"/>
  <c r="P62" i="53"/>
  <c r="P83" i="53"/>
  <c r="Q9" i="53"/>
  <c r="I45" i="53"/>
  <c r="G35" i="53"/>
  <c r="G98" i="53"/>
  <c r="G47" i="53"/>
  <c r="I34" i="53"/>
  <c r="J81" i="53"/>
  <c r="H101" i="53"/>
  <c r="Q50" i="53"/>
  <c r="G69" i="53"/>
  <c r="G62" i="53"/>
  <c r="J98" i="53"/>
  <c r="I76" i="53"/>
  <c r="I55" i="53"/>
  <c r="J61" i="53"/>
  <c r="I50" i="53"/>
  <c r="K95" i="53"/>
  <c r="G81" i="53"/>
  <c r="K52" i="53"/>
  <c r="G26" i="53"/>
  <c r="G31" i="53"/>
  <c r="F24" i="53"/>
  <c r="G46" i="53"/>
  <c r="Q71" i="53"/>
  <c r="P94" i="53"/>
  <c r="K60" i="53"/>
  <c r="J29" i="53"/>
  <c r="H98" i="53"/>
  <c r="K96" i="53"/>
  <c r="H95" i="53"/>
  <c r="C47" i="53"/>
  <c r="C43" i="53"/>
  <c r="P18" i="53"/>
  <c r="G100" i="53"/>
  <c r="C20" i="53"/>
  <c r="H82" i="53"/>
  <c r="I7" i="53"/>
  <c r="Q67" i="53"/>
  <c r="J87" i="53"/>
  <c r="Q60" i="53"/>
  <c r="Q30" i="53"/>
  <c r="P35" i="53"/>
  <c r="G79" i="53"/>
  <c r="H49" i="53"/>
  <c r="H21" i="53"/>
  <c r="G86" i="53"/>
  <c r="H72" i="53"/>
  <c r="G29" i="53"/>
  <c r="K34" i="53"/>
  <c r="B101" i="53"/>
  <c r="Q22" i="53"/>
  <c r="H87" i="53"/>
  <c r="I63" i="53"/>
  <c r="G65" i="53"/>
  <c r="B91" i="53"/>
  <c r="H20" i="53"/>
  <c r="I68" i="53"/>
  <c r="K47" i="53"/>
  <c r="Q90" i="53"/>
  <c r="I79" i="53"/>
  <c r="H4" i="53"/>
  <c r="I32" i="53"/>
  <c r="I25" i="53"/>
  <c r="I88" i="53"/>
  <c r="G84" i="53"/>
  <c r="B12" i="53"/>
  <c r="J32" i="53"/>
  <c r="F22" i="53"/>
  <c r="B92" i="53"/>
  <c r="C8" i="53"/>
  <c r="J24" i="53"/>
  <c r="G59" i="53"/>
  <c r="P34" i="53"/>
  <c r="Q73" i="53"/>
  <c r="P46" i="53"/>
  <c r="F48" i="53"/>
  <c r="P4" i="53"/>
  <c r="H7" i="53"/>
  <c r="J13" i="53"/>
  <c r="G15" i="53"/>
  <c r="C83" i="53"/>
  <c r="Q26" i="53"/>
  <c r="H17" i="53"/>
  <c r="P69" i="53"/>
  <c r="G70" i="53"/>
  <c r="F65" i="53"/>
  <c r="B14" i="53"/>
  <c r="H10" i="53"/>
  <c r="Q64" i="53"/>
  <c r="H15" i="53"/>
  <c r="G18" i="53"/>
  <c r="B64" i="53"/>
  <c r="P71" i="53"/>
  <c r="C49" i="53"/>
  <c r="J26" i="53"/>
  <c r="H30" i="53"/>
  <c r="Q99" i="53"/>
  <c r="I19" i="53"/>
  <c r="C59" i="53"/>
  <c r="J37" i="53"/>
  <c r="J72" i="53"/>
  <c r="P40" i="53"/>
  <c r="J22" i="53"/>
  <c r="Q19" i="53"/>
  <c r="C57" i="53"/>
  <c r="B98" i="53"/>
  <c r="C40" i="53"/>
  <c r="P79" i="53"/>
  <c r="P54" i="53"/>
  <c r="J57" i="53"/>
  <c r="Q69" i="53"/>
  <c r="Q85" i="53"/>
  <c r="G44" i="53"/>
  <c r="B31" i="53"/>
  <c r="G57" i="53"/>
  <c r="K38" i="53"/>
  <c r="B97" i="53"/>
  <c r="H40" i="53"/>
  <c r="C10" i="53"/>
  <c r="C29" i="53"/>
  <c r="C35" i="53"/>
  <c r="C95" i="53"/>
  <c r="F62" i="53"/>
  <c r="F50" i="53"/>
  <c r="B37" i="53"/>
  <c r="F74" i="53"/>
  <c r="I41" i="53"/>
  <c r="I99" i="53"/>
  <c r="J86" i="53"/>
  <c r="P38" i="53"/>
  <c r="H86" i="53"/>
  <c r="F72" i="53"/>
  <c r="K24" i="53"/>
  <c r="J63" i="53"/>
  <c r="J59" i="53"/>
  <c r="P91" i="53"/>
  <c r="B45" i="53"/>
  <c r="B15" i="53"/>
  <c r="J4" i="53"/>
  <c r="C36" i="53"/>
  <c r="H59" i="53"/>
  <c r="F94" i="53"/>
  <c r="G53" i="53"/>
  <c r="B19" i="53"/>
  <c r="B69" i="53"/>
  <c r="C91" i="53"/>
  <c r="Q8" i="53"/>
  <c r="E91" i="53" l="1"/>
  <c r="D91" i="53" s="1"/>
  <c r="E36" i="53"/>
  <c r="D36" i="53" s="1"/>
  <c r="O91" i="53"/>
  <c r="N24" i="53"/>
  <c r="O38" i="53"/>
  <c r="E95" i="53"/>
  <c r="D95" i="53" s="1"/>
  <c r="E35" i="53"/>
  <c r="D35" i="53" s="1"/>
  <c r="E29" i="53"/>
  <c r="D29" i="53" s="1"/>
  <c r="E10" i="53"/>
  <c r="D10" i="53" s="1"/>
  <c r="N38" i="53"/>
  <c r="O54" i="53"/>
  <c r="O79" i="53"/>
  <c r="E40" i="53"/>
  <c r="D40" i="53" s="1"/>
  <c r="E57" i="53"/>
  <c r="D57" i="53" s="1"/>
  <c r="O40" i="53"/>
  <c r="E59" i="53"/>
  <c r="D59" i="53" s="1"/>
  <c r="E49" i="53"/>
  <c r="D49" i="53" s="1"/>
  <c r="O71" i="53"/>
  <c r="O69" i="53"/>
  <c r="E83" i="53"/>
  <c r="D83" i="53" s="1"/>
  <c r="O4" i="53"/>
  <c r="O46" i="53"/>
  <c r="O34" i="53"/>
  <c r="E8" i="53"/>
  <c r="D8" i="53" s="1"/>
  <c r="N47" i="53"/>
  <c r="N34" i="53"/>
  <c r="O35" i="53"/>
  <c r="E20" i="53"/>
  <c r="D20" i="53" s="1"/>
  <c r="O18" i="53"/>
  <c r="E43" i="53"/>
  <c r="D43" i="53" s="1"/>
  <c r="E47" i="53"/>
  <c r="D47" i="53" s="1"/>
  <c r="N96" i="53"/>
  <c r="N60" i="53"/>
  <c r="O94" i="53"/>
  <c r="N52" i="53"/>
  <c r="N95" i="53"/>
  <c r="O83" i="53"/>
  <c r="O62" i="53"/>
  <c r="O16" i="53"/>
  <c r="N86" i="53"/>
  <c r="O60" i="53"/>
  <c r="N65" i="53"/>
  <c r="E55" i="53"/>
  <c r="D55" i="53" s="1"/>
  <c r="E19" i="53"/>
  <c r="D19" i="53" s="1"/>
  <c r="O86" i="53"/>
  <c r="O39" i="53"/>
  <c r="N29" i="53"/>
  <c r="O73" i="53"/>
  <c r="E5" i="53"/>
  <c r="D5" i="53" s="1"/>
  <c r="N72" i="53"/>
  <c r="E81" i="53"/>
  <c r="D81" i="53" s="1"/>
  <c r="O66" i="53"/>
  <c r="N39" i="53"/>
  <c r="N56" i="53"/>
  <c r="N68" i="53"/>
  <c r="E94" i="53"/>
  <c r="D94" i="53" s="1"/>
  <c r="N19" i="53"/>
  <c r="E27" i="53"/>
  <c r="D27" i="53" s="1"/>
  <c r="N49" i="53"/>
  <c r="O70" i="53"/>
  <c r="N67" i="53"/>
  <c r="N7" i="53"/>
  <c r="O78" i="53"/>
  <c r="E74" i="53"/>
  <c r="D74" i="53" s="1"/>
  <c r="O25" i="53"/>
  <c r="N33" i="53"/>
  <c r="N48" i="53"/>
  <c r="O76" i="53"/>
  <c r="O43" i="53"/>
  <c r="E7" i="53"/>
  <c r="D7" i="53" s="1"/>
  <c r="O64" i="53"/>
  <c r="O58" i="53"/>
  <c r="N32" i="53"/>
  <c r="E21" i="53"/>
  <c r="D21" i="53" s="1"/>
  <c r="N87" i="53"/>
  <c r="E38" i="53"/>
  <c r="D38" i="53" s="1"/>
  <c r="N31" i="53"/>
  <c r="O100" i="53"/>
  <c r="E12" i="53"/>
  <c r="D12" i="53" s="1"/>
  <c r="N9" i="53"/>
  <c r="N6" i="53"/>
  <c r="E87" i="53"/>
  <c r="D87" i="53" s="1"/>
  <c r="N43" i="53"/>
  <c r="N64" i="53"/>
  <c r="O9" i="53"/>
  <c r="N51" i="53"/>
  <c r="N8" i="53"/>
  <c r="N75" i="53"/>
  <c r="O13" i="53"/>
  <c r="O14" i="53"/>
  <c r="E60" i="53"/>
  <c r="D60" i="53" s="1"/>
  <c r="N37" i="53"/>
  <c r="E48" i="53"/>
  <c r="D48" i="53" s="1"/>
  <c r="E86" i="53"/>
  <c r="D86" i="53" s="1"/>
  <c r="N83" i="53"/>
  <c r="N28" i="53"/>
  <c r="N26" i="53"/>
  <c r="N89" i="53"/>
  <c r="E46" i="53"/>
  <c r="D46" i="53" s="1"/>
  <c r="N101" i="53"/>
  <c r="E93" i="53"/>
  <c r="D93" i="53" s="1"/>
  <c r="E24" i="53"/>
  <c r="D24" i="53" s="1"/>
  <c r="E22" i="53"/>
  <c r="D22" i="53" s="1"/>
  <c r="O36" i="53"/>
  <c r="O47" i="53"/>
  <c r="N3" i="53"/>
  <c r="O75" i="53"/>
  <c r="N69" i="53"/>
  <c r="E39" i="53"/>
  <c r="D39" i="53" s="1"/>
  <c r="E67" i="53"/>
  <c r="D67" i="53" s="1"/>
  <c r="E18" i="53"/>
  <c r="D18" i="53" s="1"/>
  <c r="E6" i="53"/>
  <c r="D6" i="53" s="1"/>
  <c r="E51" i="53"/>
  <c r="D51" i="53" s="1"/>
  <c r="N98" i="53"/>
  <c r="N81" i="53"/>
  <c r="O51" i="53"/>
  <c r="E31" i="53"/>
  <c r="D31" i="53" s="1"/>
  <c r="E85" i="53"/>
  <c r="D85" i="53" s="1"/>
  <c r="O8" i="53"/>
  <c r="E26" i="53"/>
  <c r="D26" i="53" s="1"/>
  <c r="N50" i="53"/>
  <c r="E97" i="53"/>
  <c r="D97" i="53" s="1"/>
  <c r="O5" i="53"/>
  <c r="O80" i="53"/>
  <c r="N53" i="53"/>
  <c r="O22" i="53"/>
  <c r="N22" i="53"/>
  <c r="E76" i="53"/>
  <c r="D76" i="53" s="1"/>
  <c r="E77" i="53"/>
  <c r="D77" i="53" s="1"/>
  <c r="O81" i="53"/>
  <c r="O95" i="53"/>
  <c r="O37" i="53"/>
  <c r="N14" i="53"/>
  <c r="O48" i="53"/>
  <c r="O11" i="53"/>
  <c r="E9" i="53"/>
  <c r="D9" i="53" s="1"/>
  <c r="O24" i="53"/>
  <c r="N44" i="53"/>
  <c r="E50" i="53"/>
  <c r="D50" i="53" s="1"/>
  <c r="E100" i="53"/>
  <c r="D100" i="53" s="1"/>
  <c r="O98" i="53"/>
  <c r="O56" i="53"/>
  <c r="E78" i="53"/>
  <c r="D78" i="53" s="1"/>
  <c r="N66" i="53"/>
  <c r="E34" i="53"/>
  <c r="D34" i="53" s="1"/>
  <c r="E63" i="53"/>
  <c r="D63" i="53" s="1"/>
  <c r="E62" i="53"/>
  <c r="D62" i="53" s="1"/>
  <c r="N71" i="53"/>
  <c r="E92" i="53"/>
  <c r="D92" i="53" s="1"/>
  <c r="O96" i="53"/>
  <c r="O57" i="53"/>
  <c r="O3" i="53"/>
  <c r="O87" i="53"/>
  <c r="E80" i="53"/>
  <c r="D80" i="53" s="1"/>
  <c r="N54" i="53"/>
  <c r="E96" i="53"/>
  <c r="D96" i="53" s="1"/>
  <c r="E68" i="53"/>
  <c r="D68" i="53" s="1"/>
  <c r="E99" i="53"/>
  <c r="D99" i="53" s="1"/>
  <c r="O52" i="53"/>
  <c r="E25" i="53"/>
  <c r="D25" i="53" s="1"/>
  <c r="N94" i="53"/>
  <c r="O33" i="53"/>
  <c r="O85" i="53"/>
  <c r="E33" i="53"/>
  <c r="D33" i="53" s="1"/>
  <c r="O68" i="53"/>
  <c r="O29" i="53"/>
  <c r="N93" i="53"/>
  <c r="N88" i="53"/>
  <c r="E30" i="53"/>
  <c r="D30" i="53" s="1"/>
  <c r="E44" i="53"/>
  <c r="D44" i="53" s="1"/>
  <c r="E4" i="53"/>
  <c r="D4" i="53" s="1"/>
  <c r="O50" i="53"/>
  <c r="O49" i="53"/>
  <c r="N100" i="53"/>
  <c r="O63" i="53"/>
  <c r="N63" i="53"/>
  <c r="E98" i="53"/>
  <c r="D98" i="53" s="1"/>
  <c r="N80" i="53"/>
  <c r="N10" i="53"/>
  <c r="N77" i="53"/>
  <c r="O19" i="53"/>
  <c r="O7" i="53"/>
  <c r="O31" i="53"/>
  <c r="N20" i="53"/>
  <c r="O30" i="53"/>
  <c r="O89" i="53"/>
  <c r="E15" i="53"/>
  <c r="D15" i="53" s="1"/>
  <c r="O10" i="53"/>
  <c r="N40" i="53"/>
  <c r="N46" i="53"/>
  <c r="O72" i="53"/>
  <c r="N42" i="53"/>
  <c r="O6" i="53"/>
  <c r="N59" i="53"/>
  <c r="E73" i="53"/>
  <c r="D73" i="53" s="1"/>
  <c r="O59" i="53"/>
  <c r="E82" i="53"/>
  <c r="D82" i="53" s="1"/>
  <c r="E101" i="53"/>
  <c r="D101" i="53" s="1"/>
  <c r="E75" i="53"/>
  <c r="D75" i="53" s="1"/>
  <c r="N84" i="53"/>
  <c r="N82" i="53"/>
  <c r="O42" i="53"/>
  <c r="E64" i="53"/>
  <c r="D64" i="53" s="1"/>
  <c r="N79" i="53"/>
  <c r="O23" i="53"/>
  <c r="E61" i="53"/>
  <c r="D61" i="53" s="1"/>
  <c r="O65" i="53"/>
  <c r="O26" i="53"/>
  <c r="N62" i="53"/>
  <c r="E52" i="53"/>
  <c r="D52" i="53" s="1"/>
  <c r="E14" i="53"/>
  <c r="D14" i="53" s="1"/>
  <c r="E42" i="53"/>
  <c r="D42" i="53" s="1"/>
  <c r="E17" i="53"/>
  <c r="D17" i="53" s="1"/>
  <c r="E54" i="53"/>
  <c r="D54" i="53" s="1"/>
  <c r="O82" i="53"/>
  <c r="E53" i="53"/>
  <c r="D53" i="53" s="1"/>
  <c r="E23" i="53"/>
  <c r="D23" i="53" s="1"/>
  <c r="O77" i="53"/>
  <c r="E28" i="53"/>
  <c r="D28" i="53" s="1"/>
  <c r="O55" i="53"/>
  <c r="N15" i="53"/>
  <c r="N4" i="53"/>
  <c r="E11" i="53"/>
  <c r="D11" i="53" s="1"/>
  <c r="E3" i="53"/>
  <c r="D3" i="53" s="1"/>
  <c r="E32" i="53"/>
  <c r="D32" i="53" s="1"/>
  <c r="N57" i="53"/>
  <c r="O32" i="53"/>
  <c r="O101" i="53"/>
  <c r="O90" i="53"/>
  <c r="N90" i="53"/>
  <c r="E71" i="53"/>
  <c r="D71" i="53" s="1"/>
  <c r="O17" i="53"/>
  <c r="N41" i="53"/>
  <c r="N25" i="53"/>
  <c r="O28" i="53"/>
  <c r="O92" i="53"/>
  <c r="E79" i="53"/>
  <c r="D79" i="53" s="1"/>
  <c r="N74" i="53"/>
  <c r="O88" i="53"/>
  <c r="E89" i="53"/>
  <c r="D89" i="53" s="1"/>
  <c r="O41" i="53"/>
  <c r="E41" i="53"/>
  <c r="D41" i="53" s="1"/>
  <c r="N11" i="53"/>
  <c r="N92" i="53"/>
  <c r="O67" i="53"/>
  <c r="E37" i="53"/>
  <c r="D37" i="53" s="1"/>
  <c r="O53" i="53"/>
  <c r="N12" i="53"/>
  <c r="N58" i="53"/>
  <c r="N27" i="53"/>
  <c r="N17" i="53"/>
  <c r="O15" i="53"/>
  <c r="N30" i="53"/>
  <c r="E56" i="53"/>
  <c r="D56" i="53" s="1"/>
  <c r="E88" i="53"/>
  <c r="D88" i="53" s="1"/>
  <c r="N99" i="53"/>
  <c r="E58" i="53"/>
  <c r="D58" i="53" s="1"/>
  <c r="O2" i="53"/>
  <c r="O84" i="53"/>
  <c r="E45" i="53"/>
  <c r="D45" i="53" s="1"/>
  <c r="N73" i="53"/>
  <c r="N13" i="53"/>
  <c r="O21" i="53"/>
  <c r="N97" i="53"/>
  <c r="O97" i="53"/>
  <c r="E16" i="53"/>
  <c r="D16" i="53" s="1"/>
  <c r="O12" i="53"/>
  <c r="O44" i="53"/>
  <c r="N76" i="53"/>
  <c r="O45" i="53"/>
  <c r="O74" i="53"/>
  <c r="O20" i="53"/>
  <c r="E69" i="53"/>
  <c r="D69" i="53" s="1"/>
  <c r="N45" i="53"/>
  <c r="N18" i="53"/>
  <c r="N85" i="53"/>
  <c r="N2" i="53"/>
  <c r="E84" i="53"/>
  <c r="D84" i="53" s="1"/>
  <c r="O27" i="53"/>
  <c r="N16" i="53"/>
  <c r="N21" i="53"/>
  <c r="E90" i="53"/>
  <c r="D90" i="53" s="1"/>
  <c r="N61" i="53"/>
  <c r="O99" i="53"/>
  <c r="E2" i="53"/>
  <c r="D2" i="53" s="1"/>
  <c r="N35" i="53"/>
  <c r="N23" i="53"/>
  <c r="O93" i="53"/>
  <c r="E66" i="53"/>
  <c r="D66" i="53" s="1"/>
  <c r="N91" i="53"/>
  <c r="E13" i="53"/>
  <c r="D13" i="53" s="1"/>
  <c r="N70" i="53"/>
  <c r="N55" i="53"/>
  <c r="O61" i="53"/>
  <c r="N36" i="53"/>
  <c r="E70" i="53"/>
  <c r="D70" i="53" s="1"/>
  <c r="N5" i="53"/>
  <c r="E72" i="53"/>
  <c r="D72" i="53" s="1"/>
  <c r="E65" i="53"/>
  <c r="D65" i="53" s="1"/>
  <c r="N78" i="53"/>
  <c r="L96" i="53"/>
  <c r="L33" i="53"/>
  <c r="L43" i="53"/>
  <c r="L89" i="53"/>
  <c r="L69" i="53"/>
  <c r="L22" i="53"/>
  <c r="L93" i="53"/>
  <c r="L63" i="53"/>
  <c r="L4" i="53"/>
  <c r="L18" i="53"/>
  <c r="L80" i="53"/>
  <c r="L60" i="53"/>
  <c r="L49" i="53"/>
  <c r="L48" i="53"/>
  <c r="L64" i="53"/>
  <c r="L71" i="53"/>
  <c r="L88" i="53"/>
  <c r="L85" i="53"/>
  <c r="L61" i="53"/>
  <c r="L70" i="53"/>
  <c r="L78" i="53"/>
  <c r="L47" i="53"/>
  <c r="L65" i="53"/>
  <c r="L31" i="53"/>
  <c r="L37" i="53"/>
  <c r="L101" i="53"/>
  <c r="L44" i="53"/>
  <c r="L59" i="53"/>
  <c r="L79" i="53"/>
  <c r="L41" i="53"/>
  <c r="L27" i="53"/>
  <c r="L39" i="53"/>
  <c r="L24" i="53"/>
  <c r="L34" i="53"/>
  <c r="L52" i="53"/>
  <c r="L51" i="53"/>
  <c r="L50" i="53"/>
  <c r="L92" i="53"/>
  <c r="L17" i="53"/>
  <c r="L2" i="53"/>
  <c r="L35" i="53"/>
  <c r="L55" i="53"/>
  <c r="L10" i="53"/>
  <c r="L57" i="53"/>
  <c r="L56" i="53"/>
  <c r="L67" i="53"/>
  <c r="L94" i="53"/>
  <c r="L73" i="53"/>
  <c r="L95" i="53"/>
  <c r="L7" i="53"/>
  <c r="L8" i="53"/>
  <c r="L83" i="53"/>
  <c r="L77" i="53"/>
  <c r="L40" i="53"/>
  <c r="L30" i="53"/>
  <c r="L13" i="53"/>
  <c r="L23" i="53"/>
  <c r="L29" i="53"/>
  <c r="L6" i="53"/>
  <c r="L28" i="53"/>
  <c r="L66" i="53"/>
  <c r="L46" i="53"/>
  <c r="L25" i="53"/>
  <c r="L68" i="53"/>
  <c r="L9" i="53"/>
  <c r="L98" i="53"/>
  <c r="L16" i="53"/>
  <c r="L36" i="53"/>
  <c r="L75" i="53"/>
  <c r="L14" i="53"/>
  <c r="L84" i="53"/>
  <c r="L11" i="53"/>
  <c r="L76" i="53"/>
  <c r="L32" i="53"/>
  <c r="L26" i="53"/>
  <c r="L3" i="53"/>
  <c r="L53" i="53"/>
  <c r="L100" i="53"/>
  <c r="L62" i="53"/>
  <c r="L15" i="53"/>
  <c r="L74" i="53"/>
  <c r="L97" i="53"/>
  <c r="L5" i="53"/>
  <c r="L72" i="53"/>
  <c r="L20" i="53"/>
  <c r="L82" i="53"/>
  <c r="L58" i="53"/>
  <c r="L38" i="53"/>
  <c r="L81" i="53"/>
  <c r="L54" i="53"/>
  <c r="L42" i="53"/>
  <c r="L90" i="53"/>
  <c r="L12" i="53"/>
  <c r="L99" i="53"/>
  <c r="L45" i="53"/>
  <c r="L21" i="53"/>
  <c r="L91" i="53"/>
  <c r="L86" i="53"/>
  <c r="L19" i="53"/>
  <c r="L87" i="53"/>
  <c r="M87" i="53" l="1"/>
  <c r="M19" i="53"/>
  <c r="M86" i="53"/>
  <c r="M91" i="53"/>
  <c r="M21" i="53"/>
  <c r="M45" i="53"/>
  <c r="M99" i="53"/>
  <c r="M12" i="53"/>
  <c r="M90" i="53"/>
  <c r="M42" i="53"/>
  <c r="M54" i="53"/>
  <c r="M81" i="53"/>
  <c r="M38" i="53"/>
  <c r="M58" i="53"/>
  <c r="M82" i="53"/>
  <c r="M20" i="53"/>
  <c r="M72" i="53"/>
  <c r="M5" i="53"/>
  <c r="M97" i="53"/>
  <c r="M74" i="53"/>
  <c r="M15" i="53"/>
  <c r="M62" i="53"/>
  <c r="M100" i="53"/>
  <c r="M53" i="53"/>
  <c r="M3" i="53"/>
  <c r="M26" i="53"/>
  <c r="M32" i="53"/>
  <c r="M76" i="53"/>
  <c r="M11" i="53"/>
  <c r="M84" i="53"/>
  <c r="M14" i="53"/>
  <c r="M75" i="53"/>
  <c r="M36" i="53"/>
  <c r="M16" i="53"/>
  <c r="M98" i="53"/>
  <c r="M9" i="53"/>
  <c r="M68" i="53"/>
  <c r="M25" i="53"/>
  <c r="M46" i="53"/>
  <c r="M66" i="53"/>
  <c r="M28" i="53"/>
  <c r="M6" i="53"/>
  <c r="M29" i="53"/>
  <c r="M23" i="53"/>
  <c r="M13" i="53"/>
  <c r="M30" i="53"/>
  <c r="M40" i="53"/>
  <c r="M77" i="53"/>
  <c r="M83" i="53"/>
  <c r="M8" i="53"/>
  <c r="M7" i="53"/>
  <c r="M95" i="53"/>
  <c r="M73" i="53"/>
  <c r="M94" i="53"/>
  <c r="M67" i="53"/>
  <c r="M56" i="53"/>
  <c r="M57" i="53"/>
  <c r="M10" i="53"/>
  <c r="M55" i="53"/>
  <c r="M35" i="53"/>
  <c r="M2" i="53"/>
  <c r="M17" i="53"/>
  <c r="M92" i="53"/>
  <c r="M50" i="53"/>
  <c r="M51" i="53"/>
  <c r="M52" i="53"/>
  <c r="M34" i="53"/>
  <c r="M24" i="53"/>
  <c r="M39" i="53"/>
  <c r="M27" i="53"/>
  <c r="M41" i="53"/>
  <c r="M79" i="53"/>
  <c r="M59" i="53"/>
  <c r="M44" i="53"/>
  <c r="M101" i="53"/>
  <c r="M37" i="53"/>
  <c r="M31" i="53"/>
  <c r="M65" i="53"/>
  <c r="M47" i="53"/>
  <c r="M78" i="53"/>
  <c r="M70" i="53"/>
  <c r="M61" i="53"/>
  <c r="M85" i="53"/>
  <c r="M88" i="53"/>
  <c r="M71" i="53"/>
  <c r="M64" i="53"/>
  <c r="M48" i="53"/>
  <c r="M49" i="53"/>
  <c r="M60" i="53"/>
  <c r="M80" i="53"/>
  <c r="M18" i="53"/>
  <c r="M4" i="53"/>
  <c r="M63" i="53"/>
  <c r="M93" i="53"/>
  <c r="M22" i="53"/>
  <c r="M69" i="53"/>
  <c r="M89" i="53"/>
  <c r="M43" i="53"/>
  <c r="M33" i="53"/>
  <c r="M96" i="53"/>
  <c r="U111" i="53"/>
  <c r="U62" i="53"/>
  <c r="U27" i="53"/>
  <c r="U92" i="53"/>
  <c r="U107" i="53"/>
  <c r="U26" i="53"/>
  <c r="U83" i="53"/>
  <c r="U95" i="53"/>
  <c r="U113" i="53"/>
  <c r="U87" i="53"/>
  <c r="U66" i="53"/>
  <c r="U64" i="53"/>
  <c r="U43" i="53"/>
  <c r="U82" i="53"/>
  <c r="U50" i="53"/>
  <c r="U49" i="53"/>
  <c r="U32" i="53"/>
  <c r="U41" i="53"/>
  <c r="U68" i="53"/>
  <c r="U88" i="53"/>
  <c r="U67" i="53"/>
  <c r="U86" i="53"/>
  <c r="U101" i="53"/>
  <c r="U59" i="53"/>
  <c r="U110" i="53"/>
  <c r="U106" i="53"/>
  <c r="U56" i="53"/>
  <c r="U70" i="53"/>
  <c r="U31" i="53"/>
  <c r="U116" i="53"/>
  <c r="U125" i="53"/>
  <c r="U72" i="53"/>
  <c r="U57" i="53"/>
  <c r="U85" i="53"/>
  <c r="U109" i="53"/>
  <c r="U105" i="53"/>
  <c r="U115" i="53"/>
  <c r="U44" i="53"/>
  <c r="U100" i="53"/>
  <c r="U90" i="53"/>
  <c r="U119" i="53"/>
  <c r="U74" i="53"/>
  <c r="U61" i="53"/>
  <c r="U73" i="53"/>
  <c r="U120" i="53"/>
  <c r="U40" i="53"/>
  <c r="U65" i="53"/>
  <c r="U112" i="53"/>
  <c r="U45" i="53"/>
  <c r="U96" i="53"/>
  <c r="U35" i="53"/>
  <c r="U52" i="53"/>
  <c r="U97" i="53"/>
  <c r="U75" i="53"/>
  <c r="U55" i="53"/>
  <c r="U84" i="53"/>
  <c r="U94" i="53"/>
  <c r="U78" i="53"/>
  <c r="U69" i="53"/>
  <c r="U29" i="53"/>
  <c r="U108" i="53"/>
  <c r="U30" i="53"/>
  <c r="U118" i="53"/>
  <c r="U76" i="53"/>
  <c r="U89" i="53"/>
  <c r="U104" i="53"/>
  <c r="U63" i="53"/>
  <c r="U117" i="53"/>
  <c r="U79" i="53"/>
  <c r="U123" i="53"/>
  <c r="U121" i="53"/>
  <c r="U38" i="53"/>
  <c r="U53" i="53"/>
  <c r="U91" i="53"/>
  <c r="U58" i="53"/>
  <c r="U71" i="53"/>
  <c r="U42" i="53"/>
  <c r="U28" i="53"/>
  <c r="U54" i="53"/>
  <c r="U122" i="53"/>
  <c r="U33" i="53"/>
  <c r="U103" i="53"/>
  <c r="U36" i="53"/>
  <c r="U98" i="53"/>
  <c r="U99" i="53"/>
  <c r="U47" i="53"/>
  <c r="U80" i="53"/>
  <c r="U48" i="53"/>
  <c r="U102" i="53"/>
  <c r="U51" i="53"/>
  <c r="U46" i="53"/>
  <c r="U93" i="53"/>
  <c r="U114" i="53"/>
  <c r="U39" i="53"/>
  <c r="U60" i="53"/>
  <c r="U37" i="53"/>
  <c r="U81" i="53"/>
  <c r="U34" i="53"/>
  <c r="U124" i="53"/>
  <c r="U77" i="53"/>
</calcChain>
</file>

<file path=xl/sharedStrings.xml><?xml version="1.0" encoding="utf-8"?>
<sst xmlns="http://schemas.openxmlformats.org/spreadsheetml/2006/main" count="4889" uniqueCount="4321">
  <si>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</si>
  <si>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</si>
  <si>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</si>
  <si>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</si>
  <si>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</si>
  <si>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</si>
  <si>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</si>
  <si>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</si>
  <si>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</si>
  <si>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</si>
  <si>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</si>
  <si>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</si>
  <si>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</si>
  <si>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</si>
  <si>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</si>
  <si>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</si>
  <si>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</si>
  <si>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</si>
  <si>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</si>
  <si>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</si>
  <si>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</si>
  <si>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</si>
  <si>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</si>
  <si>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</si>
  <si>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</si>
  <si>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</si>
  <si>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</si>
  <si>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</si>
  <si>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</si>
  <si>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</si>
  <si>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</si>
  <si>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</si>
  <si>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</si>
  <si>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</si>
  <si>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</si>
  <si>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</si>
  <si>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</si>
  <si>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</si>
  <si>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</si>
  <si>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</si>
  <si>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</si>
  <si>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</si>
  <si>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</si>
  <si>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</si>
  <si>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</si>
  <si>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</si>
  <si>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</si>
  <si>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</si>
  <si>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</si>
  <si>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</si>
  <si>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</si>
  <si>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</si>
  <si>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</si>
  <si>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</si>
  <si>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</si>
  <si>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</si>
  <si>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</si>
  <si>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</si>
  <si>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</si>
  <si>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</si>
  <si>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</si>
  <si>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</si>
  <si>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</si>
  <si>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</si>
  <si>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</si>
  <si>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</si>
  <si>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</si>
  <si>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</si>
  <si>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</si>
  <si>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</si>
  <si>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</si>
  <si>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</si>
  <si>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</si>
  <si>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</si>
  <si>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</si>
  <si>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</si>
  <si>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</si>
  <si>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</si>
  <si>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</si>
  <si>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</si>
  <si>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</si>
  <si>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</si>
  <si>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</si>
  <si>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</si>
  <si>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</si>
  <si>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</si>
  <si>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</si>
  <si>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</si>
  <si>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</si>
  <si>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</si>
  <si>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</si>
  <si>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</si>
  <si>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</si>
  <si>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</si>
  <si>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</si>
  <si>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</si>
  <si>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</si>
  <si>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</si>
  <si>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</si>
  <si>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</si>
  <si>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</si>
  <si>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</si>
  <si>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</si>
  <si>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</si>
  <si>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</si>
  <si>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</si>
  <si>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</si>
  <si>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</si>
  <si>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</si>
  <si>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</si>
  <si>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</si>
  <si>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</si>
  <si>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</si>
  <si>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</si>
  <si>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</si>
  <si>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</si>
  <si>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</si>
  <si>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</si>
  <si>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</si>
  <si>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</si>
  <si>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</si>
  <si>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</si>
  <si>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</si>
  <si>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</si>
  <si>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</si>
  <si>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</si>
  <si>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</si>
  <si>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</si>
  <si>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</si>
  <si>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</si>
  <si>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</si>
  <si>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</si>
  <si>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</si>
  <si>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</si>
  <si>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</si>
  <si>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</si>
  <si>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</si>
  <si>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</si>
  <si>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</si>
  <si>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</si>
  <si>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</si>
  <si>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</si>
  <si>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</si>
  <si>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</si>
  <si>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</si>
  <si>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</si>
  <si>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</si>
  <si>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</si>
  <si>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</si>
  <si>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</si>
  <si>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</si>
  <si>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</si>
  <si>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</si>
  <si>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</si>
  <si>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</si>
  <si>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</si>
  <si>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</si>
  <si>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</si>
  <si>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</si>
  <si>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</si>
  <si>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</si>
  <si>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</si>
  <si>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</si>
  <si>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</si>
  <si>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</si>
  <si>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</si>
  <si>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</si>
  <si>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</si>
  <si>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</si>
  <si>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</si>
  <si>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</si>
  <si>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</si>
  <si>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</si>
  <si>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</si>
  <si>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</si>
  <si>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</si>
  <si>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</si>
  <si>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</si>
  <si>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</si>
  <si>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</si>
  <si>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</si>
  <si>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</si>
  <si>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</si>
  <si>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</si>
  <si>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</si>
  <si>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</si>
  <si>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</si>
  <si>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</si>
  <si>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</si>
  <si>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</si>
  <si>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</si>
  <si>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</si>
  <si>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</si>
  <si>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</si>
  <si>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</si>
  <si>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</si>
  <si>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</si>
  <si>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</si>
  <si>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</si>
  <si>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</si>
  <si>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</si>
  <si>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</si>
  <si>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</si>
  <si>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</si>
  <si>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</si>
  <si>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</si>
  <si>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</si>
  <si>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</si>
  <si>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</si>
  <si>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</si>
  <si>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</si>
  <si>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</si>
  <si>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</si>
  <si>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</si>
  <si>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</si>
  <si>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</si>
  <si>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</si>
  <si>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</si>
  <si>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</si>
  <si>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</si>
  <si>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</si>
  <si>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</si>
  <si>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</si>
  <si>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</si>
  <si>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</si>
  <si>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</si>
  <si>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</si>
  <si>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</si>
  <si>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</si>
  <si>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</si>
  <si>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</si>
  <si>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</si>
  <si>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</si>
  <si>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</si>
  <si>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</si>
  <si>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</si>
  <si>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</si>
  <si>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</si>
  <si>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</si>
  <si>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</si>
  <si>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</si>
  <si>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</si>
  <si>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</si>
  <si>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</si>
  <si>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</si>
  <si>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</si>
  <si>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</si>
  <si>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</si>
  <si>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</si>
  <si>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</si>
  <si>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</si>
  <si>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</si>
  <si>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</si>
  <si>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</si>
  <si>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</si>
  <si>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</si>
  <si>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</si>
  <si>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</si>
  <si>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</si>
  <si>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</si>
  <si>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</si>
  <si>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</si>
  <si>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</si>
  <si>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</si>
  <si>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</si>
  <si>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</si>
  <si>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</si>
  <si>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</si>
  <si>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</si>
  <si>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</si>
  <si>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</si>
  <si>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</si>
  <si>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</si>
  <si>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</si>
  <si>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</si>
  <si>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</si>
  <si>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</si>
  <si>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</si>
  <si>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</si>
  <si>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</si>
  <si>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</si>
  <si>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</si>
  <si>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</si>
  <si>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</si>
  <si>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</si>
  <si>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</si>
  <si>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</si>
  <si>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</si>
  <si>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</si>
  <si>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</si>
  <si>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</si>
  <si>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</si>
  <si>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</si>
  <si>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</si>
  <si>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</si>
  <si>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</si>
  <si>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</si>
  <si>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</si>
  <si>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</si>
  <si>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</si>
  <si>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</si>
  <si>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</si>
  <si>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</si>
  <si>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</si>
  <si>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</si>
  <si>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</si>
  <si>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</si>
  <si>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</si>
  <si>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</si>
  <si>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</si>
  <si>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</si>
  <si>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</si>
  <si>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</si>
  <si>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</si>
  <si>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</si>
  <si>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</si>
  <si>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</si>
  <si>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</si>
  <si>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</si>
  <si>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</si>
  <si>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</si>
  <si>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</si>
  <si>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</si>
  <si>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</si>
  <si>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</si>
  <si>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</si>
  <si>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</si>
  <si>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</si>
  <si>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</si>
  <si>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</si>
  <si>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</si>
  <si>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</si>
  <si>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</si>
  <si>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</si>
  <si>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</si>
  <si>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</si>
  <si>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</si>
  <si>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</si>
  <si>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</si>
  <si>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</si>
  <si>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</si>
  <si>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</si>
  <si>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</si>
  <si>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</si>
  <si>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</si>
  <si>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</si>
  <si>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</si>
  <si>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</si>
  <si>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</si>
  <si>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</si>
  <si>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</si>
  <si>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</si>
  <si>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</si>
  <si>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</si>
  <si>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</si>
  <si>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</si>
  <si>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</si>
  <si>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</si>
  <si>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</si>
  <si>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</si>
  <si>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</si>
  <si>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</si>
  <si>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</si>
  <si>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</si>
  <si>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</si>
  <si>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</si>
  <si>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</si>
  <si>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</si>
  <si>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</si>
  <si>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</si>
  <si>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</si>
  <si>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</si>
  <si>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</si>
  <si>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</si>
  <si>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</si>
  <si>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</si>
  <si>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</si>
  <si>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</si>
  <si>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</si>
  <si>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</si>
  <si>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</si>
  <si>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</si>
  <si>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</si>
  <si>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</si>
  <si>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</si>
  <si>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</si>
  <si>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</si>
  <si>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</si>
  <si>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</si>
  <si>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</si>
  <si>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</si>
  <si>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</si>
  <si>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</si>
  <si>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</si>
  <si>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</si>
  <si>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</si>
  <si>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</si>
  <si>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</si>
  <si>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</si>
  <si>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</si>
  <si>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</si>
  <si>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</si>
  <si>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</si>
  <si>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</si>
  <si>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</si>
  <si>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</si>
  <si>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</si>
  <si>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</si>
  <si>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</si>
  <si>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</si>
  <si>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</si>
  <si>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</si>
  <si>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</si>
  <si>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</si>
  <si>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</si>
  <si>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</si>
  <si>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</si>
  <si>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</si>
  <si>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</si>
  <si>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</si>
  <si>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</si>
  <si>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</si>
  <si>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</si>
  <si>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</si>
  <si>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</si>
  <si>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</si>
  <si>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</si>
  <si>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</si>
  <si>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</si>
  <si>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</si>
  <si>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</si>
  <si>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</si>
  <si>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</si>
  <si>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</si>
  <si>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</si>
  <si>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</si>
  <si>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</si>
  <si>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</si>
  <si>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</si>
  <si>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</si>
  <si>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</si>
  <si>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</si>
  <si>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</si>
  <si>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</si>
  <si>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</si>
  <si>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</si>
  <si>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</si>
  <si>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</si>
  <si>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</si>
  <si>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</si>
  <si>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</si>
  <si>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</si>
  <si>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</si>
  <si>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</si>
  <si>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</si>
  <si>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</si>
  <si>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</si>
  <si>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</si>
  <si>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</si>
  <si>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</si>
  <si>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</si>
  <si>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</si>
  <si>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</si>
  <si>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</si>
  <si>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</si>
  <si>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</si>
  <si>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</si>
  <si>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</si>
  <si>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</si>
  <si>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</si>
  <si>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</si>
  <si>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</si>
  <si>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</si>
  <si>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</si>
  <si>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</si>
  <si>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</si>
  <si>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</si>
  <si>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</si>
  <si>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</si>
  <si>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</si>
  <si>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</si>
  <si>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</si>
  <si>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</si>
  <si>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</si>
  <si>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</si>
  <si>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</si>
  <si>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</si>
  <si>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</si>
  <si>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</si>
  <si>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</si>
  <si>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</si>
  <si>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</si>
  <si>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</si>
  <si>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</si>
  <si>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</si>
  <si>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</si>
  <si>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</si>
  <si>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</si>
  <si>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</si>
  <si>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</si>
  <si>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</si>
  <si>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</si>
  <si>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</si>
  <si>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</si>
  <si>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</si>
  <si>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</si>
  <si>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</si>
  <si>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</si>
  <si>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</si>
  <si>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</si>
  <si>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</si>
  <si>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</si>
  <si>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</si>
  <si>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</si>
  <si>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</si>
  <si>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</si>
  <si>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</si>
  <si>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</si>
  <si>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</si>
  <si>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</si>
  <si>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</si>
  <si>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</si>
  <si>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</si>
  <si>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</si>
  <si>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</si>
  <si>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</si>
  <si>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</si>
  <si>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</si>
  <si>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</si>
  <si>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</si>
  <si>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</si>
  <si>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</si>
  <si>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</si>
  <si>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</si>
  <si>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</si>
  <si>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</si>
  <si>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</si>
  <si>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</si>
  <si>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</si>
  <si>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</si>
  <si>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</si>
  <si>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</si>
  <si>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</si>
  <si>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</si>
  <si>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</si>
  <si>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</si>
  <si>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</si>
  <si>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</si>
  <si>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</si>
  <si>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</si>
  <si>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</si>
  <si>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</si>
  <si>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</si>
  <si>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</si>
  <si>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</si>
  <si>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</si>
  <si>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</si>
  <si>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</si>
  <si>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</si>
  <si>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</si>
  <si>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</si>
  <si>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</si>
  <si>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</si>
  <si>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</si>
  <si>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</si>
  <si>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</si>
  <si>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</si>
  <si>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</si>
  <si>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</si>
  <si>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</si>
  <si>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</si>
  <si>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</si>
  <si>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</si>
  <si>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</si>
  <si>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</si>
  <si>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</si>
  <si>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</si>
  <si>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</si>
  <si>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</si>
  <si>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</si>
  <si>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</si>
  <si>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</si>
  <si>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</si>
  <si>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</si>
  <si>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</si>
  <si>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</si>
  <si>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</si>
  <si>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</si>
  <si>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</si>
  <si>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</si>
  <si>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</si>
  <si>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</si>
  <si>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</si>
  <si>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</si>
  <si>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</si>
  <si>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</si>
  <si>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</si>
  <si>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</si>
  <si>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</si>
  <si>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</si>
  <si>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</si>
  <si>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</si>
  <si>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</si>
  <si>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</si>
  <si>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</si>
  <si>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</si>
  <si>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</si>
  <si>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</si>
  <si>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</si>
  <si>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</si>
  <si>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</si>
  <si>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</si>
  <si>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</si>
  <si>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</si>
  <si>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</si>
  <si>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</si>
  <si>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</si>
  <si>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</si>
  <si>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</si>
  <si>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</si>
  <si>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</si>
  <si>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</si>
  <si>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</si>
  <si>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</si>
  <si>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</si>
  <si>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</si>
  <si>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</si>
  <si>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</si>
  <si>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</si>
  <si>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</si>
  <si>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</si>
  <si>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</si>
  <si>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</si>
  <si>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</si>
  <si>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</si>
  <si>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</si>
  <si>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</si>
  <si>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</si>
  <si>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</si>
  <si>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</si>
  <si>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</si>
  <si>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</si>
  <si>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</si>
  <si>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</si>
  <si>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</si>
  <si>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</si>
  <si>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</si>
  <si>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</si>
  <si>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</si>
  <si>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</si>
  <si>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</si>
  <si>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</si>
  <si>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</si>
  <si>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</si>
  <si>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</si>
  <si>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</si>
  <si>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</si>
  <si>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</si>
  <si>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</si>
  <si>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</si>
  <si>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</si>
  <si>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</si>
  <si>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</si>
  <si>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</si>
  <si>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</si>
  <si>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</si>
  <si>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</si>
  <si>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</si>
  <si>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</si>
  <si>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</si>
  <si>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</si>
  <si>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</si>
  <si>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</si>
  <si>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</si>
  <si>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</si>
  <si>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</si>
  <si>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</si>
  <si>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</si>
  <si>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</si>
  <si>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</si>
  <si>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</si>
  <si>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</si>
  <si>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</si>
  <si>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</si>
  <si>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</si>
  <si>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</si>
  <si>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</si>
  <si>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</si>
  <si>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</si>
  <si>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</si>
  <si>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</si>
  <si>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</si>
  <si>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</si>
  <si>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</si>
  <si>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</si>
  <si>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</si>
  <si>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</si>
  <si>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</si>
  <si>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</si>
  <si>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</si>
  <si>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</si>
  <si>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</si>
  <si>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</si>
  <si>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</si>
  <si>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</si>
  <si>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</si>
  <si>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</si>
  <si>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</si>
  <si>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</si>
  <si>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</si>
  <si>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</si>
  <si>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</si>
  <si>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</si>
  <si>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</si>
  <si>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</si>
  <si>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</si>
  <si>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</si>
  <si>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</si>
  <si>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</si>
  <si>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</si>
  <si>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</si>
  <si>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</si>
  <si>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</si>
  <si>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</si>
  <si>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</si>
  <si>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</si>
  <si>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</si>
  <si>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</si>
  <si>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</si>
  <si>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</si>
  <si>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</si>
  <si>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</si>
  <si>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</si>
  <si>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</si>
  <si>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</si>
  <si>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</si>
  <si>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</si>
  <si>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</si>
  <si>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</si>
  <si>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</si>
  <si>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</si>
  <si>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</si>
  <si>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</si>
  <si>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</si>
  <si>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</si>
  <si>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</si>
  <si>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</si>
  <si>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</si>
  <si>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</si>
  <si>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</si>
  <si>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</si>
  <si>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</si>
  <si>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</si>
  <si>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</si>
  <si>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</si>
  <si>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</si>
  <si>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</si>
  <si>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</si>
  <si>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</si>
  <si>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</si>
  <si>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</si>
  <si>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</si>
  <si>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</si>
  <si>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</si>
  <si>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</si>
  <si>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</si>
  <si>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</si>
  <si>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</si>
  <si>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</si>
  <si>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</si>
  <si>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</si>
  <si>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</si>
  <si>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</si>
  <si>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</si>
  <si>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</si>
  <si>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</si>
  <si>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</si>
  <si>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</si>
  <si>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</si>
  <si>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</si>
  <si>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</si>
  <si>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</si>
  <si>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</si>
  <si>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</si>
  <si>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</si>
  <si>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</si>
  <si>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</si>
  <si>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</si>
  <si>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</si>
  <si>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</si>
  <si>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</si>
  <si>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</si>
  <si>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</si>
  <si>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</si>
  <si>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</si>
  <si>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</si>
  <si>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</si>
  <si>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</si>
  <si>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</si>
  <si>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</si>
  <si>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</si>
  <si>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</si>
  <si>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</si>
  <si>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</si>
  <si>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</si>
  <si>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</si>
  <si>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</si>
  <si>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</si>
  <si>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</si>
  <si>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</si>
  <si>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</si>
  <si>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</si>
  <si>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</si>
  <si>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</si>
  <si>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</si>
  <si>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</si>
  <si>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</si>
  <si>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</si>
  <si>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</si>
  <si>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</si>
  <si>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</si>
  <si>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</si>
  <si>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</si>
  <si>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</si>
  <si>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</si>
  <si>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</si>
  <si>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</si>
  <si>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</si>
  <si>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</si>
  <si>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</si>
  <si>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</si>
  <si>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</si>
  <si>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</si>
  <si>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</si>
  <si>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</si>
  <si>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</si>
  <si>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</si>
  <si>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</si>
  <si>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</si>
  <si>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</si>
  <si>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</si>
  <si>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</si>
  <si>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</si>
  <si>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</si>
  <si>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</si>
  <si>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</si>
  <si>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</si>
  <si>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</si>
  <si>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</si>
  <si>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</si>
  <si>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</si>
  <si>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</si>
  <si>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</si>
  <si>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</si>
  <si>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</si>
  <si>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</si>
  <si>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</si>
  <si>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</si>
  <si>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</si>
  <si>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</si>
  <si>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</si>
  <si>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</si>
  <si>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</si>
  <si>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</si>
  <si>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</si>
  <si>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</si>
  <si>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</si>
  <si>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</si>
  <si>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</si>
  <si>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</si>
  <si>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</si>
  <si>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</si>
  <si>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</si>
  <si>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</si>
  <si>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</si>
  <si>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</si>
  <si>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</si>
  <si>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</si>
  <si>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</si>
  <si>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</si>
  <si>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</si>
  <si>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</si>
  <si>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</si>
  <si>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</si>
  <si>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</si>
  <si>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</si>
  <si>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</si>
  <si>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</si>
  <si>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</si>
  <si>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</si>
  <si>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</si>
  <si>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</si>
  <si>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</si>
  <si>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</si>
  <si>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</si>
  <si>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</si>
  <si>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</si>
  <si>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</si>
  <si>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</si>
  <si>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</si>
  <si>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</si>
  <si>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</si>
  <si>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</si>
  <si>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</si>
  <si>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</si>
  <si>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</si>
  <si>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</si>
  <si>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</si>
  <si>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</si>
  <si>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</si>
  <si>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</si>
  <si>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</si>
  <si>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</si>
  <si>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</si>
  <si>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</si>
  <si>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</si>
  <si>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</si>
  <si>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</si>
  <si>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</si>
  <si>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</si>
  <si>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</si>
  <si>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</si>
  <si>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</si>
  <si>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</si>
  <si>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</si>
  <si>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</si>
  <si>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</si>
  <si>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</si>
  <si>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</si>
  <si>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</si>
  <si>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</si>
  <si>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</si>
  <si>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</si>
  <si>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</si>
  <si>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</si>
  <si>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</si>
  <si>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</si>
  <si>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</si>
  <si>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</si>
  <si>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</si>
  <si>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</si>
  <si>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</si>
  <si>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</si>
  <si>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</si>
  <si>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</si>
  <si>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</si>
  <si>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</si>
  <si>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</si>
  <si>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</si>
  <si>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</si>
  <si>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</si>
  <si>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</si>
  <si>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</si>
  <si>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</si>
  <si>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</si>
  <si>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</si>
  <si>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</si>
  <si>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</si>
  <si>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</si>
  <si>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</si>
  <si>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</si>
  <si>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</si>
  <si>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</si>
  <si>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</si>
  <si>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</si>
  <si>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</si>
  <si>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</si>
  <si>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</si>
  <si>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</si>
  <si>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</si>
  <si>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</si>
  <si>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</si>
  <si>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</si>
  <si>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</si>
  <si>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</si>
  <si>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</si>
  <si>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</si>
  <si>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</si>
  <si>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</si>
  <si>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</si>
  <si>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</si>
  <si>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</si>
  <si>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</si>
  <si>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</si>
  <si>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</si>
  <si>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</si>
  <si>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</si>
  <si>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</si>
  <si>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</si>
  <si>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</si>
  <si>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</si>
  <si>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</si>
  <si>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</si>
  <si>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</si>
  <si>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</si>
  <si>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</si>
  <si>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</si>
  <si>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</si>
  <si>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</si>
  <si>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</si>
  <si>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</si>
  <si>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</si>
  <si>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</si>
  <si>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</si>
  <si>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</si>
  <si>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</si>
  <si>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</si>
  <si>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</si>
  <si>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</si>
  <si>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</si>
  <si>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</si>
  <si>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</si>
  <si>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</si>
  <si>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</si>
  <si>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</si>
  <si>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</si>
  <si>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</si>
  <si>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</si>
  <si>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</si>
  <si>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</si>
  <si>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</si>
  <si>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</si>
  <si>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</si>
  <si>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</si>
  <si>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</si>
  <si>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</si>
  <si>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</si>
  <si>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</si>
  <si>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</si>
  <si>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</si>
  <si>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</si>
  <si>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</si>
  <si>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</si>
  <si>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</si>
  <si>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</si>
  <si>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</si>
  <si>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</si>
  <si>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</si>
  <si>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</si>
  <si>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</si>
  <si>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</si>
  <si>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</si>
  <si>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</si>
  <si>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</si>
  <si>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</si>
  <si>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</si>
  <si>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</si>
  <si>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</si>
  <si>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</si>
  <si>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</si>
  <si>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</si>
  <si>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</si>
  <si>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</si>
  <si>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</si>
  <si>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</si>
  <si>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</si>
  <si>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</si>
  <si>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</si>
  <si>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</si>
  <si>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</si>
  <si>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</si>
  <si>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</si>
  <si>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</si>
  <si>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</si>
  <si>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</si>
  <si>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</si>
  <si>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</si>
  <si>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</si>
  <si>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</si>
  <si>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</si>
  <si>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</si>
  <si>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</si>
  <si>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</si>
  <si>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</si>
  <si>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</si>
  <si>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</si>
  <si>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</si>
  <si>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</si>
  <si>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</si>
  <si>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</si>
  <si>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</si>
  <si>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</si>
  <si>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</si>
  <si>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</si>
  <si>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</si>
  <si>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</si>
  <si>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</si>
  <si>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</si>
  <si>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</si>
  <si>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</si>
  <si>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</si>
  <si>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</si>
  <si>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</si>
  <si>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</si>
  <si>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</si>
  <si>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</si>
  <si>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</si>
  <si>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</si>
  <si>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</si>
  <si>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</si>
  <si>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</si>
  <si>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</si>
  <si>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</si>
  <si>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</si>
  <si>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</si>
  <si>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</si>
  <si>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</si>
  <si>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</si>
  <si>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</si>
  <si>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</si>
  <si>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</si>
  <si>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</si>
  <si>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</si>
  <si>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</si>
  <si>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</si>
  <si>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</si>
  <si>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</si>
  <si>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</si>
  <si>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</si>
  <si>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</si>
  <si>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</si>
  <si>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</si>
  <si>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</si>
  <si>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</si>
  <si>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</si>
  <si>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</si>
  <si>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</si>
  <si>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</si>
  <si>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</si>
  <si>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</si>
  <si>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</si>
  <si>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</si>
  <si>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</si>
  <si>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</si>
  <si>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</si>
  <si>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</si>
  <si>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</si>
  <si>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</si>
  <si>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</si>
  <si>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</si>
  <si>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</si>
  <si>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</si>
  <si>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</si>
  <si>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</si>
  <si>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</si>
  <si>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</si>
  <si>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</si>
  <si>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</si>
  <si>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</si>
  <si>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</si>
  <si>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</si>
  <si>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</si>
  <si>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</si>
  <si>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</si>
  <si>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</si>
  <si>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</si>
  <si>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</si>
  <si>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</si>
  <si>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</si>
  <si>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</si>
  <si>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</si>
  <si>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</si>
  <si>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</si>
  <si>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</si>
  <si>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</si>
  <si>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</si>
  <si>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</si>
  <si>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</si>
  <si>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</si>
  <si>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</si>
  <si>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</si>
  <si>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</si>
  <si>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</si>
  <si>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</si>
  <si>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</si>
  <si>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</si>
  <si>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</si>
  <si>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</si>
  <si>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</si>
  <si>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</si>
  <si>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</si>
  <si>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</si>
  <si>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</si>
  <si>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</si>
  <si>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</si>
  <si>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</si>
  <si>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</si>
  <si>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</si>
  <si>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</si>
  <si>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</si>
  <si>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</si>
  <si>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</si>
  <si>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</si>
  <si>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</si>
  <si>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</si>
  <si>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</si>
  <si>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</si>
  <si>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</si>
  <si>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</si>
  <si>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</si>
  <si>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</si>
  <si>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</si>
  <si>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</si>
  <si>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</si>
  <si>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</si>
  <si>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</si>
  <si>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</si>
  <si>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</si>
  <si>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</si>
  <si>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</si>
  <si>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</si>
  <si>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</si>
  <si>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</si>
  <si>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</si>
  <si>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</si>
  <si>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</si>
  <si>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</si>
  <si>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</si>
  <si>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</si>
  <si>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</si>
  <si>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</si>
  <si>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</si>
  <si>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</si>
  <si>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</si>
  <si>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</si>
  <si>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</si>
  <si>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</si>
  <si>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</si>
  <si>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</si>
  <si>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</si>
  <si>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</si>
  <si>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</si>
  <si>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</si>
  <si>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</si>
  <si>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</si>
  <si>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</si>
  <si>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</si>
  <si>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</si>
  <si>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</si>
  <si>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</si>
  <si>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</si>
  <si>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</si>
  <si>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</si>
  <si>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</si>
  <si>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</si>
  <si>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</si>
  <si>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</si>
  <si>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</si>
  <si>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</si>
  <si>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</si>
  <si>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</si>
  <si>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</si>
  <si>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</si>
  <si>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</si>
  <si>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</si>
  <si>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</si>
  <si>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</si>
  <si>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</si>
  <si>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</si>
  <si>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</si>
  <si>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</si>
  <si>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</si>
  <si>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</si>
  <si>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</si>
  <si>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</si>
  <si>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</si>
  <si>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</si>
  <si>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</si>
  <si>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</si>
  <si>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</si>
  <si>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</si>
  <si>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</si>
  <si>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</si>
  <si>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</si>
  <si>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</si>
  <si>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</si>
  <si>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</si>
  <si>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</si>
  <si>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</si>
  <si>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</si>
  <si>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</si>
  <si>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</si>
  <si>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</si>
  <si>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</si>
  <si>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</si>
  <si>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</si>
  <si>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</si>
  <si>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</si>
  <si>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</si>
  <si>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</si>
  <si>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</si>
  <si>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</si>
  <si>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</si>
  <si>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</si>
  <si>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</si>
  <si>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</si>
  <si>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</si>
  <si>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</si>
  <si>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</si>
  <si>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</si>
  <si>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</si>
  <si>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</si>
  <si>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</si>
  <si>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</si>
  <si>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</si>
  <si>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</si>
  <si>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</si>
  <si>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</si>
  <si>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</si>
  <si>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</si>
  <si>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</si>
  <si>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</si>
  <si>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</si>
  <si>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</si>
  <si>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</si>
  <si>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</si>
  <si>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</si>
  <si>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</si>
  <si>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</si>
  <si>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</si>
  <si>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</si>
  <si>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</si>
  <si>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</si>
  <si>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</si>
  <si>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</si>
  <si>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</si>
  <si>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</si>
  <si>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</si>
  <si>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</si>
  <si>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</si>
  <si>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</si>
  <si>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</si>
  <si>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</si>
  <si>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</si>
  <si>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</si>
  <si>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</si>
  <si>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</si>
  <si>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</si>
  <si>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</si>
  <si>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</si>
  <si>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</si>
  <si>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</si>
  <si>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</si>
  <si>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</si>
  <si>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</si>
  <si>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</si>
  <si>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</si>
  <si>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</si>
  <si>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</si>
  <si>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</si>
  <si>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</si>
  <si>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</si>
  <si>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</si>
  <si>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</si>
  <si>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</si>
  <si>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</si>
  <si>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</si>
  <si>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</si>
  <si>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</si>
  <si>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</si>
  <si>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</si>
  <si>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</si>
  <si>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</si>
  <si>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</si>
  <si>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</si>
  <si>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</si>
  <si>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</si>
  <si>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</si>
  <si>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</si>
  <si>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</si>
  <si>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</si>
  <si>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</si>
  <si>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</si>
  <si>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</si>
  <si>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</si>
  <si>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</si>
  <si>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</si>
  <si>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</si>
  <si>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</si>
  <si>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</si>
  <si>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</si>
  <si>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</si>
  <si>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</si>
  <si>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</si>
  <si>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</si>
  <si>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</si>
  <si>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</si>
  <si>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</si>
  <si>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</si>
  <si>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</si>
  <si>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</si>
  <si>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</si>
  <si>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</si>
  <si>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</si>
  <si>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</si>
  <si>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</si>
  <si>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</si>
  <si>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</si>
  <si>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</si>
  <si>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</si>
  <si>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</si>
  <si>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</si>
  <si>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</si>
  <si>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</si>
  <si>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</si>
  <si>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</si>
  <si>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</si>
  <si>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</si>
  <si>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</si>
  <si>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</si>
  <si>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</si>
  <si>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</si>
  <si>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</si>
  <si>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</si>
  <si>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</si>
  <si>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</si>
  <si>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</si>
  <si>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</si>
  <si>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</si>
  <si>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</si>
  <si>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</si>
  <si>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</si>
  <si>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</si>
  <si>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</si>
  <si>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</si>
  <si>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</si>
  <si>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</si>
  <si>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</si>
  <si>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</si>
  <si>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</si>
  <si>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</si>
  <si>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</si>
  <si>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</si>
  <si>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</si>
  <si>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</si>
  <si>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</si>
  <si>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</si>
  <si>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</si>
  <si>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</si>
  <si>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</si>
  <si>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</si>
  <si>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</si>
  <si>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</si>
  <si>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</si>
  <si>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</si>
  <si>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</si>
  <si>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</si>
  <si>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</si>
  <si>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</si>
  <si>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</si>
  <si>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</si>
  <si>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</si>
  <si>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</si>
  <si>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</si>
  <si>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</si>
  <si>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</si>
  <si>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</si>
  <si>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</si>
  <si>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</si>
  <si>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</si>
  <si>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</si>
  <si>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</si>
  <si>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</si>
  <si>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</si>
  <si>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</si>
  <si>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</si>
  <si>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</si>
  <si>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</si>
  <si>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</si>
  <si>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</si>
  <si>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</si>
  <si>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</si>
  <si>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</si>
  <si>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</si>
  <si>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</si>
  <si>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</si>
  <si>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</si>
  <si>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</si>
  <si>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</si>
  <si>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</si>
  <si>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</si>
  <si>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</si>
  <si>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</si>
  <si>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</si>
  <si>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</si>
  <si>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</si>
  <si>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</si>
  <si>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</si>
  <si>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</si>
  <si>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</si>
  <si>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</si>
  <si>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</si>
  <si>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</si>
  <si>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</si>
  <si>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</si>
  <si>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</si>
  <si>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</si>
  <si>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</si>
  <si>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</si>
  <si>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</si>
  <si>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</si>
  <si>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</si>
  <si>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</si>
  <si>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</si>
  <si>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</si>
  <si>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</si>
  <si>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</si>
  <si>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</si>
  <si>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</si>
  <si>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</si>
  <si>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</si>
  <si>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</si>
  <si>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</si>
  <si>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</si>
  <si>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</si>
  <si>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</si>
  <si>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</si>
  <si>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</si>
  <si>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</si>
  <si>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</si>
  <si>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</si>
  <si>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</si>
  <si>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</si>
  <si>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</si>
  <si>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</si>
  <si>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</si>
  <si>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</si>
  <si>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</si>
  <si>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</si>
  <si>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</si>
  <si>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</si>
  <si>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</si>
  <si>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</si>
  <si>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</si>
  <si>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</si>
  <si>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</si>
  <si>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</si>
  <si>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</si>
  <si>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</si>
  <si>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</si>
  <si>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</si>
  <si>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</si>
  <si>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</si>
  <si>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</si>
  <si>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</si>
  <si>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</si>
  <si>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</si>
  <si>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</si>
  <si>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</si>
  <si>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</si>
  <si>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</si>
  <si>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</si>
  <si>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</si>
  <si>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</si>
  <si>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</si>
  <si>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</si>
  <si>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</si>
  <si>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</si>
  <si>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</si>
  <si>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</si>
  <si>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</si>
  <si>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</si>
  <si>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</si>
  <si>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</si>
  <si>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</si>
  <si>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</si>
  <si>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</si>
  <si>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</si>
  <si>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</si>
  <si>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</si>
  <si>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</si>
  <si>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</si>
  <si>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</si>
  <si>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</si>
  <si>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</si>
  <si>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</si>
  <si>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</si>
  <si>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</si>
  <si>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</si>
  <si>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</si>
  <si>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</si>
  <si>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</si>
  <si>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</si>
  <si>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</si>
  <si>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</si>
  <si>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</si>
  <si>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</si>
  <si>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</si>
  <si>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</si>
  <si>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</si>
  <si>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</si>
  <si>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</si>
  <si>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</si>
  <si>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</si>
  <si>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</si>
  <si>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</si>
  <si>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</si>
  <si>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</si>
  <si>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</si>
  <si>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</si>
  <si>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</si>
  <si>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</si>
  <si>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</si>
  <si>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</si>
  <si>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</si>
  <si>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</si>
  <si>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</si>
  <si>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</si>
  <si>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</si>
  <si>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</si>
  <si>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</si>
  <si>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</si>
  <si>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</si>
  <si>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</si>
  <si>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</si>
  <si>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</si>
  <si>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</si>
  <si>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</si>
  <si>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</si>
  <si>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</si>
  <si>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</si>
  <si>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</si>
  <si>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</si>
  <si>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</si>
  <si>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</si>
  <si>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</si>
  <si>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</si>
  <si>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</si>
  <si>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</si>
  <si>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</si>
  <si>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</si>
  <si>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</si>
  <si>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</si>
  <si>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</si>
  <si>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</si>
  <si>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</si>
  <si>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</si>
  <si>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</si>
  <si>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</si>
  <si>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</si>
  <si>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</si>
  <si>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</si>
  <si>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</si>
  <si>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</si>
  <si>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</si>
  <si>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</si>
  <si>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</si>
  <si>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</si>
  <si>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</si>
  <si>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</si>
  <si>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</si>
  <si>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</si>
  <si>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</si>
  <si>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</si>
  <si>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</si>
  <si>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</si>
  <si>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</si>
  <si>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</si>
  <si>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</si>
  <si>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</si>
  <si>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</si>
  <si>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</si>
  <si>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</si>
  <si>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</si>
  <si>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</si>
  <si>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</si>
  <si>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</si>
  <si>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</si>
  <si>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</si>
  <si>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</si>
  <si>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</si>
  <si>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</si>
  <si>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</si>
  <si>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</si>
  <si>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</si>
  <si>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</si>
  <si>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</si>
  <si>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</si>
  <si>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</si>
  <si>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</si>
  <si>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</si>
  <si>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</si>
  <si>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</si>
  <si>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</si>
  <si>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</si>
  <si>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</si>
  <si>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</si>
  <si>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</si>
  <si>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</si>
  <si>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</si>
  <si>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</si>
  <si>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</si>
  <si>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</si>
  <si>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</si>
  <si>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</si>
  <si>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</si>
  <si>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</si>
  <si>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</si>
  <si>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</si>
  <si>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</si>
  <si>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</si>
  <si>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</si>
  <si>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</si>
  <si>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</si>
  <si>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</si>
  <si>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</si>
  <si>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</si>
  <si>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</si>
  <si>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</si>
  <si>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</si>
  <si>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</si>
  <si>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</si>
  <si>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</si>
  <si>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</si>
  <si>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</si>
  <si>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</si>
  <si>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</si>
  <si>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</si>
  <si>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</si>
  <si>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</si>
  <si>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</si>
  <si>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</si>
  <si>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</si>
  <si>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</si>
  <si>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</si>
  <si>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</si>
  <si>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</si>
  <si>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</si>
  <si>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</si>
  <si>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</si>
  <si>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</si>
  <si>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</si>
  <si>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</si>
  <si>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</si>
  <si>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</si>
  <si>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</si>
  <si>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</si>
  <si>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</si>
  <si>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</si>
  <si>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</si>
  <si>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</si>
  <si>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</si>
  <si>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</si>
  <si>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</si>
  <si>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</si>
  <si>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</si>
  <si>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</si>
  <si>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</si>
  <si>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</si>
  <si>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</si>
  <si>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</si>
  <si>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</si>
  <si>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</si>
  <si>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</si>
  <si>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</si>
  <si>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</si>
  <si>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</si>
  <si>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</si>
  <si>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</si>
  <si>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</si>
  <si>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</si>
  <si>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</si>
  <si>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</si>
  <si>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</si>
  <si>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</si>
  <si>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</si>
  <si>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</si>
  <si>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</si>
  <si>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</si>
  <si>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</si>
  <si>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</si>
  <si>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</si>
  <si>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</si>
  <si>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</si>
  <si>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</si>
  <si>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</si>
  <si>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</si>
  <si>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</si>
  <si>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</si>
  <si>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</si>
  <si>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</si>
  <si>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</si>
  <si>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</si>
  <si>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</si>
  <si>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</si>
  <si>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</si>
  <si>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</si>
  <si>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</si>
  <si>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</si>
  <si>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</si>
  <si>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</si>
  <si>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</si>
  <si>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</si>
  <si>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</si>
  <si>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</si>
  <si>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</si>
  <si>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</si>
  <si>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</si>
  <si>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</si>
  <si>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</si>
  <si>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</si>
  <si>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</si>
  <si>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</si>
  <si>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</si>
  <si>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</si>
  <si>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</si>
  <si>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</si>
  <si>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</si>
  <si>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</si>
  <si>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</si>
  <si>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</si>
  <si>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</si>
  <si>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</si>
  <si>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</si>
  <si>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</si>
  <si>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</si>
  <si>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</si>
  <si>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</si>
  <si>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</si>
  <si>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</si>
  <si>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</si>
  <si>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</si>
  <si>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</si>
  <si>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</si>
  <si>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</si>
  <si>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</si>
  <si>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</si>
  <si>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</si>
  <si>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</si>
  <si>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</si>
  <si>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</si>
  <si>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</si>
  <si>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</si>
  <si>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</si>
  <si>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</si>
  <si>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</si>
  <si>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</si>
  <si>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</si>
  <si>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</si>
  <si>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</si>
  <si>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</si>
  <si>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</si>
  <si>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</si>
  <si>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</si>
  <si>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</si>
  <si>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</si>
  <si>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</si>
  <si>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</si>
  <si>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</si>
  <si>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</si>
  <si>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</si>
  <si>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</si>
  <si>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</si>
  <si>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</si>
  <si>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</si>
  <si>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</si>
  <si>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</si>
  <si>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</si>
  <si>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</si>
  <si>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</si>
  <si>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</si>
  <si>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</si>
  <si>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</si>
  <si>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</si>
  <si>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</si>
  <si>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</si>
  <si>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</si>
  <si>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</si>
  <si>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</si>
  <si>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</si>
  <si>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</si>
  <si>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</si>
  <si>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</si>
  <si>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</si>
  <si>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</si>
  <si>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</si>
  <si>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</si>
  <si>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</si>
  <si>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</si>
  <si>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</si>
  <si>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</si>
  <si>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</si>
  <si>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</si>
  <si>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</si>
  <si>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</si>
  <si>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</si>
  <si>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</si>
  <si>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</si>
  <si>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</si>
  <si>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</si>
  <si>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</si>
  <si>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</si>
  <si>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</si>
  <si>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</si>
  <si>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</si>
  <si>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</si>
  <si>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</si>
  <si>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</si>
  <si>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</si>
  <si>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</si>
  <si>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</si>
  <si>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</si>
  <si>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</si>
  <si>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</si>
  <si>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</si>
  <si>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</si>
  <si>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</si>
  <si>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</si>
  <si>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</si>
  <si>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</si>
  <si>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</si>
  <si>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</si>
  <si>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</si>
  <si>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</si>
  <si>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</si>
  <si>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</si>
  <si>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</si>
  <si>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</si>
  <si>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</si>
  <si>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</si>
  <si>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</si>
  <si>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</si>
  <si>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</si>
  <si>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</si>
  <si>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</si>
  <si>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</si>
  <si>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</si>
  <si>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</si>
  <si>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</si>
  <si>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</si>
  <si>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</si>
  <si>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</si>
  <si>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</si>
  <si>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</si>
  <si>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</si>
  <si>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</si>
  <si>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</si>
  <si>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</si>
  <si>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</si>
  <si>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</si>
  <si>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</si>
  <si>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</si>
  <si>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</si>
  <si>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</si>
  <si>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</si>
  <si>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</si>
  <si>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</si>
  <si>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</si>
  <si>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</si>
  <si>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</si>
  <si>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</si>
  <si>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</si>
  <si>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</si>
  <si>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</si>
  <si>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</si>
  <si>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</si>
  <si>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</si>
  <si>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</si>
  <si>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</si>
  <si>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</si>
  <si>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</si>
  <si>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</si>
  <si>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</si>
  <si>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</si>
  <si>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</si>
  <si>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</si>
  <si>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</si>
  <si>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</si>
  <si>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</si>
  <si>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</si>
  <si>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</si>
  <si>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</si>
  <si>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</si>
  <si>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</si>
  <si>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</si>
  <si>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</si>
  <si>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</si>
  <si>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</si>
  <si>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</si>
  <si>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</si>
  <si>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</si>
  <si>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</si>
  <si>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</si>
  <si>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</si>
  <si>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</si>
  <si>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</si>
  <si>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</si>
  <si>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</si>
  <si>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</si>
  <si>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</si>
  <si>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</si>
  <si>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</si>
  <si>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</si>
  <si>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</si>
  <si>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</si>
  <si>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</si>
  <si>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</si>
  <si>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</si>
  <si>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</si>
  <si>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</si>
  <si>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</si>
  <si>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</si>
  <si>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</si>
  <si>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</si>
  <si>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</si>
  <si>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</si>
  <si>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</si>
  <si>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</si>
  <si>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</si>
  <si>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</si>
  <si>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</si>
  <si>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</si>
  <si>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</si>
  <si>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</si>
  <si>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</si>
  <si>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</si>
  <si>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</si>
  <si>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</si>
  <si>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</si>
  <si>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</si>
  <si>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</si>
  <si>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</si>
  <si>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</si>
  <si>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</si>
  <si>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</si>
  <si>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</si>
  <si>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</si>
  <si>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</si>
  <si>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</si>
  <si>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</si>
  <si>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</si>
  <si>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</si>
  <si>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</si>
  <si>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</si>
  <si>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</si>
  <si>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</si>
  <si>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</si>
  <si>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</si>
  <si>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</si>
  <si>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</si>
  <si>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</si>
  <si>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</si>
  <si>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</si>
  <si>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</si>
  <si>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</si>
  <si>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</si>
  <si>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</si>
  <si>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</si>
  <si>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</si>
  <si>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</si>
  <si>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</si>
  <si>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</si>
  <si>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</si>
  <si>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</si>
  <si>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</si>
  <si>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</si>
  <si>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</si>
  <si>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</si>
  <si>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</si>
  <si>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</si>
  <si>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</si>
  <si>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</si>
  <si>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</si>
  <si>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</si>
  <si>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</si>
  <si>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</si>
  <si>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</si>
  <si>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</si>
  <si>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</si>
  <si>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</si>
  <si>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</si>
  <si>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</si>
  <si>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</si>
  <si>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</si>
  <si>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</si>
  <si>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</si>
  <si>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</si>
  <si>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</si>
  <si>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</si>
  <si>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</si>
  <si>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</si>
  <si>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</si>
  <si>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</si>
  <si>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</si>
  <si>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</si>
  <si>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</si>
  <si>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</si>
  <si>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</si>
  <si>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</si>
  <si>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</si>
  <si>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</si>
  <si>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</si>
  <si>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</si>
  <si>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</si>
  <si>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</si>
  <si>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</si>
  <si>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</si>
  <si>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</si>
  <si>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</si>
  <si>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</si>
  <si>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</si>
  <si>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</si>
  <si>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</si>
  <si>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</si>
  <si>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</si>
  <si>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</si>
  <si>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</si>
  <si>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</si>
  <si>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</si>
  <si>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</si>
  <si>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</si>
  <si>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</si>
  <si>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</si>
  <si>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</si>
  <si>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</si>
  <si>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</si>
  <si>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</si>
  <si>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</si>
  <si>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</si>
  <si>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</si>
  <si>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</si>
  <si>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</si>
  <si>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</si>
  <si>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</si>
  <si>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</si>
  <si>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</si>
  <si>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</si>
  <si>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</si>
  <si>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</si>
  <si>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</si>
  <si>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</si>
  <si>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</si>
  <si>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</si>
  <si>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</si>
  <si>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</si>
  <si>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</si>
  <si>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</si>
  <si>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</si>
  <si>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</si>
  <si>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</si>
  <si>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</si>
  <si>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</si>
  <si>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</si>
  <si>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</si>
  <si>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</si>
  <si>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</si>
  <si>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</si>
  <si>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</si>
  <si>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</si>
  <si>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</si>
  <si>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</si>
  <si>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</si>
  <si>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</si>
  <si>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</si>
  <si>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</si>
  <si>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</si>
  <si>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</si>
  <si>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</si>
  <si>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</si>
  <si>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</si>
  <si>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</si>
  <si>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</si>
  <si>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</si>
  <si>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</si>
  <si>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</si>
  <si>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</si>
  <si>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</si>
  <si>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</si>
  <si>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</si>
  <si>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</si>
  <si>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</si>
  <si>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</si>
  <si>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</si>
  <si>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</si>
  <si>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</si>
  <si>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</si>
  <si>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</si>
  <si>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</si>
  <si>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</si>
  <si>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</si>
  <si>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</si>
  <si>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</si>
  <si>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</si>
  <si>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</si>
  <si>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</si>
  <si>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</si>
  <si>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</si>
  <si>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</si>
  <si>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</si>
  <si>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</si>
  <si>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</si>
  <si>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</si>
  <si>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</si>
  <si>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</si>
  <si>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</si>
  <si>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</si>
  <si>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</si>
  <si>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</si>
  <si>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</si>
  <si>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</si>
  <si>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</si>
  <si>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</si>
  <si>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</si>
  <si>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</si>
  <si>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</si>
  <si>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</si>
  <si>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</si>
  <si>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</si>
  <si>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</si>
  <si>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</si>
  <si>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</si>
  <si>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</si>
  <si>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</si>
  <si>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</si>
  <si>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</si>
  <si>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</si>
  <si>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</si>
  <si>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</si>
  <si>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</si>
  <si>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</si>
  <si>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</si>
  <si>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</si>
  <si>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</si>
  <si>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</si>
  <si>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</si>
  <si>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</si>
  <si>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</si>
  <si>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</si>
  <si>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</si>
  <si>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</si>
  <si>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</si>
  <si>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</si>
  <si>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</si>
  <si>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</si>
  <si>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</si>
  <si>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</si>
  <si>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</si>
  <si>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</si>
  <si>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</si>
  <si>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</si>
  <si>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</si>
  <si>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</si>
  <si>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</si>
  <si>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</si>
  <si>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</si>
  <si>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</si>
  <si>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</si>
  <si>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</si>
  <si>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</si>
  <si>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</si>
  <si>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</si>
  <si>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</si>
  <si>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</si>
  <si>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</si>
  <si>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</si>
  <si>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</si>
  <si>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</si>
  <si>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</si>
  <si>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</si>
  <si>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</si>
  <si>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</si>
  <si>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</si>
  <si>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</si>
  <si>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</si>
  <si>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</si>
  <si>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</si>
  <si>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</si>
  <si>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</si>
  <si>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</si>
  <si>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</si>
  <si>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</si>
  <si>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</si>
  <si>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</si>
  <si>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</si>
  <si>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</si>
  <si>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</si>
  <si>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</si>
  <si>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</si>
  <si>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</si>
  <si>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</si>
  <si>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</si>
  <si>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</si>
  <si>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</si>
  <si>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</si>
  <si>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</si>
  <si>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</si>
  <si>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</si>
  <si>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</si>
  <si>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</si>
  <si>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</si>
  <si>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</si>
  <si>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</si>
  <si>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</si>
  <si>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</si>
  <si>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</si>
  <si>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</si>
  <si>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</si>
  <si>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</si>
  <si>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</si>
  <si>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</si>
  <si>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</si>
  <si>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</si>
  <si>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</si>
  <si>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</si>
  <si>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</si>
  <si>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</si>
  <si>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</si>
  <si>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</si>
  <si>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</si>
  <si>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</si>
  <si>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</si>
  <si>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</si>
  <si>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</si>
  <si>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</si>
  <si>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</si>
  <si>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</si>
  <si>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</si>
  <si>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</si>
  <si>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</si>
  <si>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</si>
  <si>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</si>
  <si>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</si>
  <si>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</si>
  <si>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</si>
  <si>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</si>
  <si>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</si>
  <si>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</si>
  <si>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</si>
  <si>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</si>
  <si>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</si>
  <si>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</si>
  <si>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</si>
  <si>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</si>
  <si>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</si>
  <si>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</si>
  <si>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</si>
  <si>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</si>
  <si>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</si>
  <si>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</si>
  <si>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</si>
  <si>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</si>
  <si>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</si>
  <si>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</si>
  <si>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</si>
  <si>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</si>
  <si>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</si>
  <si>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</si>
  <si>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</si>
  <si>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</si>
  <si>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</si>
  <si>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</si>
  <si>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</si>
  <si>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</si>
  <si>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</si>
  <si>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</si>
  <si>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</si>
  <si>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</si>
  <si>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</si>
  <si>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</si>
  <si>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</si>
  <si>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</si>
  <si>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</si>
  <si>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</si>
  <si>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</si>
  <si>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</si>
  <si>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</si>
  <si>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</si>
  <si>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</si>
  <si>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</si>
  <si>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</si>
  <si>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</si>
  <si>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</si>
  <si>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</si>
  <si>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</si>
  <si>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</si>
  <si>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</si>
  <si>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</si>
  <si>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</si>
  <si>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</si>
  <si>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</si>
  <si>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</si>
  <si>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</si>
  <si>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</si>
  <si>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</si>
  <si>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</si>
  <si>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</si>
  <si>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</si>
  <si>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</si>
  <si>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</si>
  <si>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</si>
  <si>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</si>
  <si>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</si>
  <si>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</si>
  <si>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</si>
  <si>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</si>
  <si>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</si>
  <si>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</si>
  <si>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</si>
  <si>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</si>
  <si>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</si>
  <si>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</si>
  <si>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</si>
  <si>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</si>
  <si>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</si>
  <si>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</si>
  <si>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</si>
  <si>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</si>
  <si>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</si>
  <si>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</si>
  <si>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</si>
  <si>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</si>
  <si>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</si>
  <si>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</si>
  <si>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</si>
  <si>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</si>
  <si>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</si>
  <si>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</si>
  <si>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</si>
  <si>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</si>
  <si>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</si>
  <si>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</si>
  <si>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</si>
  <si>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</si>
  <si>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</si>
  <si>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</si>
  <si>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</si>
  <si>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</si>
  <si>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</si>
  <si>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</si>
  <si>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</si>
  <si>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</si>
  <si>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</si>
  <si>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</si>
  <si>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</si>
  <si>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</si>
  <si>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</si>
  <si>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</si>
  <si>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</si>
  <si>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</si>
  <si>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</si>
  <si>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</si>
  <si>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</si>
  <si>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</si>
  <si>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</si>
  <si>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</si>
  <si>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</si>
  <si>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</si>
  <si>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</si>
  <si>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</si>
  <si>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</si>
  <si>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</si>
  <si>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</si>
  <si>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</si>
  <si>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</si>
  <si>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</si>
  <si>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</si>
  <si>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</si>
  <si>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</si>
  <si>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</si>
  <si>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</si>
  <si>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</si>
  <si>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</si>
  <si>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</si>
  <si>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</si>
  <si>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</si>
  <si>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</si>
  <si>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</si>
  <si>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</si>
  <si>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</si>
  <si>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</si>
  <si>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</si>
  <si>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</si>
  <si>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</si>
  <si>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</si>
  <si>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</si>
  <si>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</si>
  <si>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</si>
  <si>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</si>
  <si>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</si>
  <si>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</si>
  <si>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</si>
  <si>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</si>
  <si>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</si>
  <si>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</si>
  <si>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</si>
  <si>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</si>
  <si>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</si>
  <si>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</si>
  <si>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</si>
  <si>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</si>
  <si>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</si>
  <si>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</si>
  <si>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</si>
  <si>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</si>
  <si>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</si>
  <si>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</si>
  <si>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</si>
  <si>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</si>
  <si>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</si>
  <si>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</si>
  <si>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</si>
  <si>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</si>
  <si>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</si>
  <si>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</si>
  <si>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</si>
  <si>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</si>
  <si>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</si>
  <si>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</si>
  <si>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</si>
  <si>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</si>
  <si>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</si>
  <si>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</si>
  <si>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</si>
  <si>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</si>
  <si>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</si>
  <si>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</si>
  <si>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</si>
  <si>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</si>
  <si>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</si>
  <si>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</si>
  <si>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</si>
  <si>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</si>
  <si>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</si>
  <si>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</si>
  <si>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</si>
  <si>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</si>
  <si>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</si>
  <si>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</si>
  <si>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</si>
  <si>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</si>
  <si>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</si>
  <si>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</si>
  <si>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</si>
  <si>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</si>
  <si>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</si>
  <si>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</si>
  <si>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</si>
  <si>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</si>
  <si>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</si>
  <si>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</si>
  <si>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</si>
  <si>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</si>
  <si>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</si>
  <si>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</si>
  <si>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</si>
  <si>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</si>
  <si>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</si>
  <si>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</si>
  <si>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</si>
  <si>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</si>
  <si>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</si>
  <si>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</si>
  <si>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</si>
  <si>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</si>
  <si>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</si>
  <si>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</si>
  <si>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</si>
  <si>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</si>
  <si>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</si>
  <si>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</si>
  <si>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</si>
  <si>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</si>
  <si>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</si>
  <si>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</si>
  <si>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</si>
  <si>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</si>
  <si>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</si>
  <si>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</si>
  <si>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</si>
  <si>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</si>
  <si>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</si>
  <si>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</si>
  <si>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</si>
  <si>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</si>
  <si>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</si>
  <si>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</si>
  <si>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</si>
  <si>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</si>
  <si>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</si>
  <si>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</si>
  <si>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</si>
  <si>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</si>
  <si>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</si>
  <si>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</si>
  <si>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</si>
  <si>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</si>
  <si>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</si>
  <si>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</si>
  <si>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</si>
  <si>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</si>
  <si>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</si>
  <si>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</si>
  <si>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</si>
  <si>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</si>
  <si>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</si>
  <si>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</si>
  <si>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</si>
  <si>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</si>
  <si>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</si>
  <si>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</si>
  <si>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</si>
  <si>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</si>
  <si>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</si>
  <si>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</si>
  <si>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</si>
  <si>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</si>
  <si>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</si>
  <si>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</si>
  <si>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</si>
  <si>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</si>
  <si>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</si>
  <si>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</si>
  <si>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</si>
  <si>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</si>
  <si>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</si>
  <si>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</si>
  <si>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</si>
  <si>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</si>
  <si>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</si>
  <si>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</si>
  <si>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</si>
  <si>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</si>
  <si>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</si>
  <si>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</si>
  <si>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</si>
  <si>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</si>
  <si>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</si>
  <si>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</si>
  <si>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</si>
  <si>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</si>
  <si>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</si>
  <si>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</si>
  <si>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</si>
  <si>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</si>
  <si>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</si>
  <si>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</si>
  <si>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</si>
  <si>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</si>
  <si>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</si>
  <si>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</si>
  <si>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</si>
  <si>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</si>
  <si>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</si>
  <si>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</si>
  <si>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</si>
  <si>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</si>
  <si>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</si>
  <si>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</si>
  <si>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</si>
  <si>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</si>
  <si>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</si>
  <si>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</si>
  <si>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</si>
  <si>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</si>
  <si>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</si>
  <si>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</si>
  <si>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</si>
  <si>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</si>
  <si>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</si>
  <si>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</si>
  <si>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</si>
  <si>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</si>
  <si>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</si>
  <si>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</si>
  <si>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</si>
  <si>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</si>
  <si>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</si>
  <si>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</si>
  <si>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</si>
  <si>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</si>
  <si>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</si>
  <si>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</si>
  <si>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</si>
  <si>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</si>
  <si>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</si>
  <si>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</si>
  <si>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</si>
  <si>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</si>
  <si>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</si>
  <si>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</si>
  <si>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</si>
  <si>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</si>
  <si>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</si>
  <si>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</si>
  <si>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</si>
  <si>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</si>
  <si>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</si>
  <si>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</si>
  <si>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</si>
  <si>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</si>
  <si>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</si>
  <si>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</si>
  <si>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</si>
  <si>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</si>
  <si>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</si>
  <si>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</si>
  <si>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</si>
  <si>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</si>
  <si>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</si>
  <si>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</si>
  <si>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</si>
  <si>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</si>
  <si>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</si>
  <si>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</si>
  <si>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</si>
  <si>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</si>
  <si>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</si>
  <si>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</si>
  <si>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</si>
  <si>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</si>
  <si>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</si>
  <si>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</si>
  <si>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</si>
  <si>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</si>
  <si>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</si>
  <si>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</si>
  <si>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</si>
  <si>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</si>
  <si>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</si>
  <si>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</si>
  <si>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</si>
  <si>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</si>
  <si>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</si>
  <si>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</si>
  <si>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</si>
  <si>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</si>
  <si>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</si>
  <si>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</si>
  <si>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</si>
  <si>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</si>
  <si>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</si>
  <si>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</si>
  <si>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</si>
  <si>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</si>
  <si>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</si>
  <si>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</si>
  <si>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</si>
  <si>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</si>
  <si>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</si>
  <si>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</si>
  <si>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</si>
  <si>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</si>
  <si>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</si>
  <si>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</si>
  <si>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</si>
  <si>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</si>
  <si>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</si>
  <si>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</si>
  <si>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</si>
  <si>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</si>
  <si>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</si>
  <si>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</si>
  <si>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</si>
  <si>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</si>
  <si>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</si>
  <si>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</si>
  <si>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</si>
  <si>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</si>
  <si>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</si>
  <si>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</si>
  <si>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</si>
  <si>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</si>
  <si>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</si>
  <si>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</si>
  <si>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</si>
  <si>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</si>
  <si>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</si>
  <si>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</si>
  <si>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</si>
  <si>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</si>
  <si>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</si>
  <si>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</si>
  <si>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</si>
  <si>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</si>
  <si>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</si>
  <si>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</si>
  <si>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</si>
  <si>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</si>
  <si>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</si>
  <si>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</si>
  <si>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</si>
  <si>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</si>
  <si>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</si>
  <si>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</si>
  <si>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</si>
  <si>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</si>
  <si>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</si>
  <si>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</si>
  <si>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</si>
  <si>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</si>
  <si>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</si>
  <si>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</si>
  <si>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</si>
  <si>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</si>
  <si>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</si>
  <si>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</si>
  <si>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</si>
  <si>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</si>
  <si>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</si>
  <si>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</si>
  <si>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</si>
  <si>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</si>
  <si>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</si>
  <si>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</si>
  <si>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</si>
  <si>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</si>
  <si>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</si>
  <si>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</si>
  <si>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</si>
  <si>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</si>
  <si>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</si>
  <si>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</si>
  <si>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</si>
  <si>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</si>
  <si>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</si>
  <si>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</si>
  <si>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</si>
  <si>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</si>
  <si>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</si>
  <si>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</si>
  <si>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</si>
  <si>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</si>
  <si>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</si>
  <si>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</si>
  <si>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</si>
  <si>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</si>
  <si>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</si>
  <si>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</si>
  <si>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</si>
  <si>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</si>
  <si>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</si>
  <si>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</si>
  <si>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</si>
  <si>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</si>
  <si>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</si>
  <si>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</si>
  <si>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</si>
  <si>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</si>
  <si>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</si>
  <si>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</si>
  <si>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</si>
  <si>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</si>
  <si>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</si>
  <si>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</si>
  <si>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</si>
  <si>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</si>
  <si>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</si>
  <si>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</si>
  <si>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</si>
  <si>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</si>
  <si>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</si>
  <si>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</si>
  <si>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</si>
  <si>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</si>
  <si>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</si>
  <si>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</si>
  <si>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</si>
  <si>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</si>
  <si>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</si>
  <si>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</si>
  <si>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</si>
  <si>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</si>
  <si>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</si>
  <si>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</si>
  <si>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</si>
  <si>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</si>
  <si>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</si>
  <si>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</si>
  <si>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</si>
  <si>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</si>
  <si>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</si>
  <si>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</si>
  <si>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</si>
  <si>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</si>
  <si>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</si>
  <si>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</si>
  <si>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</si>
  <si>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</si>
  <si>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</si>
  <si>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</si>
  <si>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</si>
  <si>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</si>
  <si>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</si>
  <si>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</si>
  <si>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</si>
  <si>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</si>
  <si>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</si>
  <si>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</si>
  <si>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</si>
  <si>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</si>
  <si>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</si>
  <si>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</si>
  <si>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</si>
  <si>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</si>
  <si>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</si>
  <si>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</si>
  <si>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</si>
  <si>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</si>
  <si>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</si>
  <si>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</si>
  <si>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</si>
  <si>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</si>
  <si>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</si>
  <si>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</si>
  <si>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</si>
  <si>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</si>
  <si>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</si>
  <si>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</si>
  <si>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</si>
  <si>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</si>
  <si>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</si>
  <si>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</si>
  <si>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</si>
  <si>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</si>
  <si>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</si>
  <si>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</si>
  <si>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</si>
  <si>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</si>
  <si>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</si>
  <si>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</si>
  <si>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</si>
  <si>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</si>
  <si>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</si>
  <si>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</si>
  <si>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</si>
  <si>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</si>
  <si>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</si>
  <si>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</si>
  <si>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</si>
  <si>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</si>
  <si>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</si>
  <si>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</si>
  <si>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</si>
  <si>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</si>
  <si>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</si>
  <si>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</si>
  <si>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</si>
  <si>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</si>
  <si>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</si>
  <si>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</si>
  <si>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</si>
  <si>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</si>
  <si>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</si>
  <si>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</si>
  <si>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</si>
  <si>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</si>
  <si>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</si>
  <si>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</si>
  <si>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</si>
  <si>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</si>
  <si>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</si>
  <si>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</si>
  <si>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</si>
  <si>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</si>
  <si>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</si>
  <si>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</si>
  <si>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</si>
  <si>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</si>
  <si>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</si>
  <si>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</si>
  <si>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</si>
  <si>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</si>
  <si>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</si>
  <si>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</si>
  <si>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</si>
  <si>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</si>
  <si>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</si>
  <si>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</si>
  <si>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</si>
  <si>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</si>
  <si>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</si>
  <si>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</si>
  <si>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</si>
  <si>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</si>
  <si>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</si>
  <si>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</si>
  <si>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</si>
  <si>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</si>
  <si>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</si>
  <si>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</si>
  <si>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</si>
  <si>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</si>
  <si>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</si>
  <si>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</si>
  <si>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</si>
  <si>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</si>
  <si>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</si>
  <si>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</si>
  <si>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</si>
  <si>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</si>
  <si>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</si>
  <si>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</si>
  <si>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</si>
  <si>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</si>
  <si>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</si>
  <si>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</si>
  <si>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</si>
  <si>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</si>
  <si>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</si>
  <si>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</si>
  <si>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</si>
  <si>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</si>
  <si>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</si>
  <si>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</si>
  <si>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</si>
  <si>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</si>
  <si>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</si>
  <si>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</si>
  <si>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</si>
  <si>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</si>
  <si>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</si>
  <si>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</si>
  <si>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</si>
  <si>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</si>
  <si>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</si>
  <si>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</si>
  <si>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</si>
  <si>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</si>
  <si>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</si>
  <si>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</si>
  <si>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</si>
  <si>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</si>
  <si>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</si>
  <si>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</si>
  <si>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</si>
  <si>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</si>
  <si>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</si>
  <si>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</si>
  <si>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</si>
  <si>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</si>
  <si>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</si>
  <si>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</si>
  <si>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</si>
  <si>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</si>
  <si>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</si>
  <si>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</si>
  <si>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</si>
  <si>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</si>
  <si>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</si>
  <si>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</si>
  <si>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</si>
  <si>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</si>
  <si>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</si>
  <si>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</si>
  <si>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</si>
  <si>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</si>
  <si>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</si>
  <si>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</si>
  <si>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</si>
  <si>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</si>
  <si>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</si>
  <si>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</si>
  <si>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</si>
  <si>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</si>
  <si>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</si>
  <si>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</si>
  <si>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</si>
  <si>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</si>
  <si>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</si>
  <si>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</si>
  <si>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</si>
  <si>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</si>
  <si>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</si>
  <si>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</si>
  <si>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</si>
  <si>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</si>
  <si>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</si>
  <si>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</si>
  <si>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</si>
  <si>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</si>
  <si>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</si>
  <si>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</si>
  <si>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</si>
  <si>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</si>
  <si>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</si>
  <si>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</si>
  <si>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</si>
  <si>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</si>
  <si>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</si>
  <si>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</si>
  <si>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</si>
  <si>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</si>
  <si>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</si>
  <si>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</si>
  <si>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</si>
  <si>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</si>
  <si>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</si>
  <si>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</si>
  <si>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</si>
  <si>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</si>
  <si>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</si>
  <si>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</si>
  <si>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</si>
  <si>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</si>
  <si>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</si>
  <si>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</si>
  <si>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</si>
  <si>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</si>
  <si>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</si>
  <si>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</si>
  <si>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</si>
  <si>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</si>
  <si>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</si>
  <si>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</si>
  <si>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</si>
  <si>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</si>
  <si>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</si>
  <si>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</si>
  <si>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</si>
  <si>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</si>
  <si>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</si>
  <si>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</si>
  <si>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</si>
  <si>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</si>
  <si>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</si>
  <si>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</si>
  <si>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</si>
  <si>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</si>
  <si>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</si>
  <si>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</si>
  <si>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</si>
  <si>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</si>
  <si>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</si>
  <si>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</si>
  <si>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</si>
  <si>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</si>
  <si>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</si>
  <si>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</si>
  <si>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</si>
  <si>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</si>
  <si>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</si>
  <si>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</si>
  <si>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</si>
  <si>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</si>
  <si>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</si>
  <si>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</si>
  <si>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</si>
  <si>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</si>
  <si>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</si>
  <si>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</si>
  <si>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</si>
  <si>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</si>
  <si>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</si>
  <si>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</si>
  <si>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</si>
  <si>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</si>
  <si>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</si>
  <si>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</si>
  <si>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</si>
  <si>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</si>
  <si>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</si>
  <si>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</si>
  <si>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</si>
  <si>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</si>
  <si>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</si>
  <si>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</si>
  <si>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</si>
  <si>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</si>
  <si>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</si>
  <si>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</si>
  <si>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</si>
  <si>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</si>
  <si>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</si>
  <si>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</si>
  <si>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</si>
  <si>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</si>
  <si>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</si>
  <si>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</si>
  <si>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</si>
  <si>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</si>
  <si>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</si>
  <si>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</si>
  <si>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</si>
  <si>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</si>
  <si>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</si>
  <si>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</si>
  <si>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</si>
  <si>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</si>
  <si>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</si>
  <si>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</si>
  <si>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</si>
  <si>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</si>
  <si>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</si>
  <si>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</si>
  <si>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</si>
  <si>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</si>
  <si>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</si>
  <si>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</si>
  <si>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</si>
  <si>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</si>
  <si>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</si>
  <si>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</si>
  <si>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</si>
  <si>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</si>
  <si>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</si>
  <si>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</si>
  <si>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</si>
  <si>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</si>
  <si>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</si>
  <si>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</si>
  <si>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</si>
  <si>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</si>
  <si>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</si>
  <si>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</si>
  <si>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</si>
  <si>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</si>
  <si>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</si>
  <si>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</si>
  <si>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</si>
  <si>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</si>
  <si>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</si>
  <si>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</si>
  <si>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</si>
  <si>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</si>
  <si>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</si>
  <si>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</si>
  <si>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</si>
  <si>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</si>
  <si>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</si>
  <si>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</si>
  <si>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</si>
  <si>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</si>
  <si>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</si>
  <si>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</si>
  <si>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</si>
  <si>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</si>
  <si>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</si>
  <si>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</si>
  <si>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</si>
  <si>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</si>
  <si>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</si>
  <si>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</si>
  <si>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</si>
  <si>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</si>
  <si>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</si>
  <si>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</si>
  <si>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</si>
  <si>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</si>
  <si>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</si>
  <si>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</si>
  <si>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</si>
  <si>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</si>
  <si>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</si>
  <si>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</si>
  <si>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</si>
  <si>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</si>
  <si>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</si>
  <si>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</si>
  <si>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</si>
  <si>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</si>
  <si>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</si>
  <si>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</si>
  <si>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</si>
  <si>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</si>
  <si>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</si>
  <si>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</si>
  <si>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</si>
  <si>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</si>
  <si>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</si>
  <si>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</si>
  <si>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</si>
  <si>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</si>
  <si>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</si>
  <si>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</si>
  <si>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</si>
  <si>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</si>
  <si>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</si>
  <si>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</si>
  <si>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</si>
  <si>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</si>
  <si>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</si>
  <si>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</si>
  <si>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</si>
  <si>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</si>
  <si>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</si>
  <si>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</si>
  <si>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</si>
  <si>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</si>
  <si>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</si>
  <si>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</si>
  <si>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</si>
  <si>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</si>
  <si>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</si>
  <si>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</si>
  <si>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</si>
  <si>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</si>
  <si>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</si>
  <si>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</si>
  <si>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</si>
  <si>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</si>
  <si>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</si>
  <si>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</si>
  <si>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</si>
  <si>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</si>
  <si>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</si>
  <si>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</si>
  <si>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</si>
  <si>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</si>
  <si>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</si>
  <si>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</si>
  <si>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</si>
  <si>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</si>
  <si>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</si>
  <si>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</si>
  <si>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</si>
  <si>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</si>
  <si>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</si>
  <si>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</si>
  <si>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</si>
  <si>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</si>
  <si>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</si>
  <si>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</si>
  <si>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</si>
  <si>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</si>
  <si>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</si>
  <si>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</si>
  <si>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</si>
  <si>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</si>
  <si>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</si>
  <si>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</si>
  <si>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</si>
  <si>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</si>
  <si>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</si>
  <si>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</si>
  <si>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</si>
  <si>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</si>
  <si>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</si>
  <si>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</si>
  <si>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</si>
  <si>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</si>
  <si>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</si>
  <si>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</si>
  <si>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</si>
  <si>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</si>
  <si>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</si>
  <si>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</si>
  <si>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</si>
  <si>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</si>
  <si>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</si>
  <si>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</si>
  <si>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</si>
  <si>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</si>
  <si>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</si>
  <si>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</si>
  <si>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</si>
  <si>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</si>
  <si>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</si>
  <si>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</si>
  <si>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</si>
  <si>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</si>
  <si>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</si>
  <si>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</si>
  <si>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</si>
  <si>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</si>
  <si>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</si>
  <si>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</si>
  <si>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</si>
  <si>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</si>
  <si>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</si>
  <si>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</si>
  <si>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</si>
  <si>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</si>
  <si>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</si>
  <si>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</si>
  <si>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</si>
  <si>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</si>
  <si>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</si>
  <si>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</si>
  <si>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</si>
  <si>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</si>
  <si>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</si>
  <si>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</si>
  <si>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</si>
  <si>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</si>
  <si>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</si>
  <si>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</si>
  <si>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</si>
  <si>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</si>
  <si>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</si>
  <si>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</si>
  <si>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</si>
  <si>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</si>
  <si>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</si>
  <si>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</si>
  <si>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</si>
  <si>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</si>
  <si>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</si>
  <si>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</si>
  <si>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</si>
  <si>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</si>
  <si>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</si>
  <si>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</si>
  <si>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</si>
  <si>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</si>
  <si>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</si>
  <si>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</si>
  <si>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</si>
  <si>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</si>
  <si>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</si>
  <si>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</si>
  <si>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</si>
  <si>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</si>
  <si>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</si>
  <si>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</si>
  <si>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</si>
  <si>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</si>
  <si>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</si>
  <si>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</si>
  <si>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</si>
  <si>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</si>
  <si>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</si>
  <si>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</si>
  <si>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</si>
  <si>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</si>
  <si>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</si>
  <si>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</si>
  <si>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</si>
  <si>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</si>
  <si>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</si>
  <si>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</si>
  <si>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</si>
  <si>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</si>
  <si>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</si>
  <si>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</si>
  <si>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</si>
  <si>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</si>
  <si>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</si>
  <si>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</si>
  <si>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</si>
  <si>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</si>
  <si>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</si>
  <si>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</si>
  <si>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</si>
  <si>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</si>
  <si>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</si>
  <si>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</si>
  <si>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</si>
  <si>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</si>
  <si>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</si>
  <si>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</si>
  <si>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</si>
  <si>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</si>
  <si>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</si>
  <si>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</si>
  <si>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</si>
  <si>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</si>
  <si>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</si>
  <si>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</si>
  <si>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</si>
  <si>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</si>
  <si>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</si>
  <si>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</si>
  <si>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</si>
  <si>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</si>
  <si>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</si>
  <si>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</si>
  <si>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</si>
  <si>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</si>
  <si>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</si>
  <si>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</si>
  <si>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</si>
  <si>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</si>
  <si>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</si>
  <si>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</si>
  <si>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</si>
  <si>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</si>
  <si>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</si>
  <si>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</si>
  <si>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</si>
  <si>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</si>
  <si>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</si>
  <si>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</si>
  <si>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</si>
  <si>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</si>
  <si>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</si>
  <si>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</si>
  <si>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</si>
  <si>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</si>
  <si>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</si>
  <si>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</si>
  <si>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</si>
  <si>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</si>
  <si>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</si>
  <si>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</si>
  <si>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</si>
  <si>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</si>
  <si>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</si>
  <si>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</si>
  <si>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</si>
  <si>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</si>
  <si>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</si>
  <si>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</si>
  <si>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</si>
  <si>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</si>
  <si>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</si>
  <si>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</si>
  <si>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</si>
  <si>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</si>
  <si>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</si>
  <si>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</si>
  <si>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</si>
  <si>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</si>
  <si>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</si>
  <si>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</si>
  <si>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</si>
  <si>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</si>
  <si>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</si>
  <si>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</si>
  <si>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</si>
  <si>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</si>
  <si>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</si>
  <si>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</si>
  <si>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</si>
  <si>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</si>
  <si>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</si>
  <si>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</si>
  <si>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</si>
  <si>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</si>
  <si>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</si>
  <si>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</si>
  <si>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</si>
  <si>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</si>
  <si>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</si>
  <si>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</si>
  <si>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</si>
  <si>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</si>
  <si>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</si>
  <si>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</si>
  <si>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</si>
  <si>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</si>
  <si>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</si>
  <si>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</si>
  <si>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</si>
  <si>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</si>
  <si>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</si>
  <si>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</si>
  <si>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</si>
  <si>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</si>
  <si>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</si>
  <si>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</si>
  <si>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</si>
  <si>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</si>
  <si>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</si>
  <si>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</si>
  <si>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</si>
  <si>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</si>
  <si>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</si>
  <si>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</si>
  <si>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</si>
  <si>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</si>
  <si>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</si>
  <si>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</si>
  <si>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</si>
  <si>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</si>
  <si>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</si>
  <si>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</si>
  <si>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</si>
  <si>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</si>
  <si>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</si>
  <si>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</si>
  <si>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</si>
  <si>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</si>
  <si>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</si>
  <si>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</si>
  <si>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</si>
  <si>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</si>
  <si>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</si>
  <si>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</si>
  <si>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</si>
  <si>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</si>
  <si>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</si>
  <si>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</si>
  <si>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</si>
  <si>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</si>
  <si>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</si>
  <si>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</si>
  <si>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</si>
  <si>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</si>
  <si>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</si>
  <si>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</si>
  <si>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</si>
  <si>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</si>
  <si>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</si>
  <si>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</si>
  <si>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</si>
  <si>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</si>
  <si>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</si>
  <si>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</si>
  <si>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</si>
  <si>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</si>
  <si>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</si>
  <si>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</si>
  <si>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</si>
  <si>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</si>
  <si>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</si>
  <si>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</si>
  <si>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</si>
  <si>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</si>
  <si>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</si>
  <si>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</si>
  <si>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</si>
  <si>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</si>
  <si>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</si>
  <si>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</si>
  <si>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</si>
  <si>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</si>
  <si>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</si>
  <si>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</si>
  <si>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</si>
  <si>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</si>
  <si>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</si>
  <si>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</si>
  <si>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</si>
  <si>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</si>
  <si>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</si>
  <si>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</si>
  <si>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</si>
  <si>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</si>
  <si>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</si>
  <si>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</si>
  <si>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</si>
  <si>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</si>
  <si>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</si>
  <si>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</si>
  <si>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</si>
  <si>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</si>
  <si>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</si>
  <si>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</si>
  <si>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</si>
  <si>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</si>
  <si>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</si>
  <si>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</si>
  <si>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</si>
  <si>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</si>
  <si>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</si>
  <si>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</si>
  <si>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</si>
  <si>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</si>
  <si>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</si>
  <si>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</si>
  <si>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</si>
  <si>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</si>
  <si>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</si>
  <si>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</si>
  <si>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</si>
  <si>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</si>
  <si>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</si>
  <si>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</si>
  <si>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</si>
  <si>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</si>
  <si>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</si>
  <si>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</si>
  <si>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</si>
  <si>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</si>
  <si>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</si>
  <si>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</si>
  <si>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</si>
  <si>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</si>
  <si>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</si>
  <si>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</si>
  <si>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</si>
  <si>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</si>
  <si>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</si>
  <si>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</si>
  <si>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</si>
  <si>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</si>
  <si>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</si>
  <si>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</si>
  <si>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</si>
  <si>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</si>
  <si>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</si>
  <si>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</si>
  <si>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</si>
  <si>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</si>
  <si>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</si>
  <si>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</si>
  <si>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</si>
  <si>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</si>
  <si>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</si>
  <si>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</si>
  <si>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</si>
  <si>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</si>
  <si>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</si>
  <si>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</si>
  <si>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</si>
  <si>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</si>
  <si>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</si>
  <si>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</si>
  <si>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</si>
  <si>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</si>
  <si>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</si>
  <si>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</si>
  <si>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</si>
  <si>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</si>
  <si>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</si>
  <si>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</si>
  <si>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</si>
  <si>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</si>
  <si>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</si>
  <si>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</si>
  <si>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</si>
  <si>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</si>
  <si>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</si>
  <si>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</si>
  <si>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</si>
  <si>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</si>
  <si>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</si>
  <si>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</si>
  <si>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</si>
  <si>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</si>
  <si>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</si>
  <si>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</si>
  <si>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</si>
  <si>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</si>
  <si>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</si>
  <si>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</si>
  <si>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</si>
  <si>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</si>
  <si>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</si>
  <si>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</si>
  <si>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</si>
  <si>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</si>
  <si>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</si>
  <si>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</si>
  <si>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</si>
  <si>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</si>
  <si>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</si>
  <si>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</si>
  <si>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</si>
  <si>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</si>
  <si>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</si>
  <si>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</si>
  <si>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</si>
  <si>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</si>
  <si>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</si>
  <si>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</si>
  <si>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</si>
  <si>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</si>
  <si>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</si>
  <si>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</si>
  <si>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</si>
  <si>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</si>
  <si>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</si>
  <si>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</si>
  <si>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</si>
  <si>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</si>
  <si>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</si>
  <si>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</si>
  <si>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</si>
  <si>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</si>
  <si>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</si>
  <si>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</si>
  <si>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</si>
  <si>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</si>
  <si>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</si>
  <si>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</si>
  <si>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</si>
  <si>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</si>
  <si>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</si>
  <si>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</si>
  <si>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</si>
  <si>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</si>
  <si>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</si>
  <si>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</si>
  <si>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</si>
  <si>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</si>
  <si>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</si>
  <si>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</si>
  <si>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</si>
  <si>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</si>
  <si>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</si>
  <si>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</si>
  <si>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</si>
  <si>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</si>
  <si>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</si>
  <si>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</si>
  <si>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</si>
  <si>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</si>
  <si>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</si>
  <si>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</si>
  <si>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</si>
  <si>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</si>
  <si>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</si>
  <si>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</si>
  <si>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</si>
  <si>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</si>
  <si>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</si>
  <si>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</si>
  <si>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</si>
  <si>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</si>
  <si>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</si>
  <si>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</si>
  <si>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</si>
  <si>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</si>
  <si>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</si>
  <si>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</si>
  <si>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</si>
  <si>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</si>
  <si>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</si>
  <si>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</si>
  <si>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</si>
  <si>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</si>
  <si>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</si>
  <si>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</si>
  <si>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</si>
  <si>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</si>
  <si>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</si>
  <si>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</si>
  <si>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</si>
  <si>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</si>
  <si>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</si>
  <si>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</si>
  <si>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</si>
  <si>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</si>
  <si>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</si>
  <si>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</si>
  <si>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</si>
  <si>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</si>
  <si>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</si>
  <si>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</si>
  <si>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</si>
  <si>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</si>
  <si>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</si>
  <si>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</si>
  <si>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</si>
  <si>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</si>
  <si>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</si>
  <si>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</si>
  <si>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</si>
  <si>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</si>
  <si>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</si>
  <si>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</si>
  <si>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</si>
  <si>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</si>
  <si>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</si>
  <si>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</si>
  <si>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</si>
  <si>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</si>
  <si>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</si>
  <si>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</si>
  <si>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</si>
  <si>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</si>
  <si>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</si>
  <si>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</si>
  <si>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</si>
  <si>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</si>
  <si>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</si>
  <si>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</si>
  <si>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</si>
  <si>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</si>
  <si>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</si>
  <si>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</si>
  <si>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</si>
  <si>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</si>
  <si>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</si>
  <si>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</si>
  <si>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</si>
  <si>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</si>
  <si>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</si>
  <si>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</si>
  <si>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</si>
  <si>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</si>
  <si>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</si>
  <si>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</si>
  <si>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</si>
  <si>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</si>
  <si>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</si>
  <si>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</si>
  <si>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</si>
  <si>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</si>
  <si>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</si>
  <si>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</si>
  <si>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</si>
  <si>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</si>
  <si>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</si>
  <si>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</si>
  <si>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</si>
  <si>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</si>
  <si>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</si>
  <si>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</si>
  <si>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</si>
  <si>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</si>
  <si>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</si>
  <si>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</si>
  <si>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</si>
  <si>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</si>
  <si>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</si>
  <si>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</si>
  <si>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</si>
  <si>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</si>
  <si>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</si>
  <si>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</si>
  <si>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</si>
  <si>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</si>
  <si>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</si>
  <si>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</si>
  <si>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</si>
  <si>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</si>
  <si>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</si>
  <si>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</si>
  <si>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</si>
  <si>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</si>
  <si>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</si>
  <si>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</si>
  <si>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</si>
  <si>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</si>
  <si>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</si>
  <si>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</si>
  <si>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</si>
  <si>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</si>
  <si>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</si>
  <si>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</si>
  <si>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</si>
  <si>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</si>
  <si>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</si>
  <si>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</si>
  <si>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</si>
  <si>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</si>
  <si>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</si>
  <si>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</si>
  <si>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</si>
  <si>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</si>
  <si>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</si>
  <si>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</si>
  <si>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</si>
  <si>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</si>
  <si>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</si>
  <si>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</si>
  <si>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</si>
  <si>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</si>
  <si>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</si>
  <si>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</si>
  <si>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</si>
  <si>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</si>
  <si>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</si>
  <si>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</si>
  <si>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</si>
  <si>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</si>
  <si>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</si>
  <si>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</si>
  <si>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</si>
  <si>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</si>
  <si>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</si>
  <si>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</si>
  <si>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</si>
  <si>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</si>
  <si>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</si>
  <si>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</si>
  <si>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</si>
  <si>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</si>
  <si>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</si>
  <si>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</si>
  <si>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</si>
  <si>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</si>
  <si>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</si>
  <si>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</si>
  <si>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</si>
  <si>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</si>
  <si>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</si>
  <si>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</si>
  <si>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</si>
  <si>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</si>
  <si>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</si>
  <si>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</si>
  <si>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</si>
  <si>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</si>
  <si>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</si>
  <si>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</si>
  <si>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</si>
  <si>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</si>
  <si>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</si>
  <si>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</si>
  <si>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</si>
  <si>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</si>
  <si>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</si>
  <si>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</si>
  <si>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</si>
  <si>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</si>
  <si>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</si>
  <si>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</si>
  <si>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</si>
  <si>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</si>
  <si>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</si>
  <si>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</si>
  <si>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</si>
  <si>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</si>
  <si>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</si>
  <si>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</si>
  <si>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</si>
  <si>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</si>
  <si>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</si>
  <si>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</si>
  <si>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</si>
  <si>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</si>
  <si>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</si>
  <si>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</si>
  <si>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</si>
  <si>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</si>
  <si>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</si>
  <si>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</si>
  <si>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</si>
  <si>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</si>
  <si>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</si>
  <si>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</si>
  <si>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</si>
  <si>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</si>
  <si>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</si>
  <si>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</si>
  <si>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</si>
  <si>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</si>
  <si>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</si>
  <si>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</si>
  <si>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</si>
  <si>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</si>
  <si>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</si>
  <si>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</si>
  <si>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</si>
  <si>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</si>
  <si>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</si>
  <si>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</si>
  <si>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</si>
  <si>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</si>
  <si>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</si>
  <si>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</si>
  <si>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</si>
  <si>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</si>
  <si>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</si>
  <si>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</si>
  <si>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</si>
  <si>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</si>
  <si>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</si>
  <si>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</si>
  <si>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</si>
  <si>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</si>
  <si>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</si>
  <si>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</si>
  <si>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</si>
  <si>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</si>
  <si>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</si>
  <si>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</si>
  <si>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</si>
  <si>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</si>
  <si>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</si>
  <si>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</si>
  <si>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</si>
  <si>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</si>
  <si>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</si>
  <si>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</si>
  <si>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</si>
  <si>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</si>
  <si>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</si>
  <si>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</si>
  <si>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</si>
  <si>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</si>
  <si>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</si>
  <si>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</si>
  <si>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</si>
  <si>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</si>
  <si>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</si>
  <si>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</si>
  <si>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</si>
  <si>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</si>
  <si>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</si>
  <si>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</si>
  <si>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</si>
  <si>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</si>
  <si>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</si>
  <si>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</si>
  <si>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</si>
  <si>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</si>
  <si>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</si>
  <si>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</si>
  <si>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</si>
  <si>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</si>
  <si>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</si>
  <si>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</si>
  <si>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</si>
  <si>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</si>
  <si>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</si>
  <si>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</si>
  <si>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</si>
  <si>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</si>
  <si>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</si>
  <si>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</si>
  <si>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</si>
  <si>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</si>
  <si>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</si>
  <si>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</si>
  <si>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</si>
  <si>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</si>
  <si>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</si>
  <si>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</si>
  <si>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</si>
  <si>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</si>
  <si>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</si>
  <si>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</si>
  <si>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</si>
  <si>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</si>
  <si>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</si>
  <si>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</si>
  <si>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</si>
  <si>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</si>
  <si>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</si>
  <si>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</si>
  <si>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Number</t>
  </si>
  <si>
    <t>Prod_id</t>
  </si>
  <si>
    <t>Date</t>
  </si>
  <si>
    <t>Ord_date</t>
  </si>
  <si>
    <t>Prod_name</t>
  </si>
  <si>
    <t>String</t>
  </si>
  <si>
    <t>Metacritic_score</t>
  </si>
  <si>
    <t>Retail_price</t>
  </si>
  <si>
    <t>Monthly_sales</t>
  </si>
  <si>
    <t>Playtime</t>
  </si>
  <si>
    <t>Possible_discount</t>
  </si>
  <si>
    <t>Genre</t>
  </si>
  <si>
    <t>Red Omen</t>
  </si>
  <si>
    <t>Titan Carnage</t>
  </si>
  <si>
    <t>Pillage of Opportunity</t>
  </si>
  <si>
    <t>Vengeance of Trickery</t>
  </si>
  <si>
    <t>Ghosts and Command</t>
  </si>
  <si>
    <t>Duty and Control</t>
  </si>
  <si>
    <t>Farforce</t>
  </si>
  <si>
    <t>Blueborne</t>
  </si>
  <si>
    <t>Everrain</t>
  </si>
  <si>
    <t>Antilust</t>
  </si>
  <si>
    <t>Heroic Legacy</t>
  </si>
  <si>
    <t>Dark Sect</t>
  </si>
  <si>
    <t>Monsters of Nightmares</t>
  </si>
  <si>
    <t>Wizards of Sorrow</t>
  </si>
  <si>
    <t>Hand and Chronicles</t>
  </si>
  <si>
    <t>Heaven and Alchemy</t>
  </si>
  <si>
    <t>Madscape</t>
  </si>
  <si>
    <t>Bloodscape</t>
  </si>
  <si>
    <t>Chronorite</t>
  </si>
  <si>
    <t>Emberville</t>
  </si>
  <si>
    <t>Action</t>
  </si>
  <si>
    <t>Adventure</t>
  </si>
  <si>
    <t>RPG</t>
  </si>
  <si>
    <t>Infernal Faction</t>
  </si>
  <si>
    <t>Eternal Harvest</t>
  </si>
  <si>
    <t>Magic of Mythology</t>
  </si>
  <si>
    <t>Spirits of Heritage</t>
  </si>
  <si>
    <t>Enemy and Demons</t>
  </si>
  <si>
    <t>Honor and Earth</t>
  </si>
  <si>
    <t>Shardforce</t>
  </si>
  <si>
    <t>Warhunt</t>
  </si>
  <si>
    <t>Magechild</t>
  </si>
  <si>
    <t>Arcanepath</t>
  </si>
  <si>
    <t>Strategy</t>
  </si>
  <si>
    <t>Android Dynasty</t>
  </si>
  <si>
    <t>Blood Cataclysm</t>
  </si>
  <si>
    <t>Warlords of Turmoil</t>
  </si>
  <si>
    <t>Titans of Pain</t>
  </si>
  <si>
    <t>Legions and Warlords</t>
  </si>
  <si>
    <t>Tactics and Wonder</t>
  </si>
  <si>
    <t>Phantomland</t>
  </si>
  <si>
    <t>Siegefront</t>
  </si>
  <si>
    <t>Ashcommand</t>
  </si>
  <si>
    <t>Netherheart</t>
  </si>
  <si>
    <t>Ord_id</t>
  </si>
  <si>
    <t>Ord-001</t>
  </si>
  <si>
    <t>Ord-002</t>
  </si>
  <si>
    <t>Ord-003</t>
  </si>
  <si>
    <t>Ord-004</t>
  </si>
  <si>
    <t>Ord-005</t>
  </si>
  <si>
    <t>Ord-006</t>
  </si>
  <si>
    <t>Ord-007</t>
  </si>
  <si>
    <t>Ord-008</t>
  </si>
  <si>
    <t>Ord-009</t>
  </si>
  <si>
    <t>Ord-010</t>
  </si>
  <si>
    <t>Ord-011</t>
  </si>
  <si>
    <t>Ord-012</t>
  </si>
  <si>
    <t>Ord-013</t>
  </si>
  <si>
    <t>Ord-014</t>
  </si>
  <si>
    <t>Ord-015</t>
  </si>
  <si>
    <t>Ord-016</t>
  </si>
  <si>
    <t>Ord-017</t>
  </si>
  <si>
    <t>Ord-018</t>
  </si>
  <si>
    <t>Ord-019</t>
  </si>
  <si>
    <t>Ord-020</t>
  </si>
  <si>
    <t>Ord-021</t>
  </si>
  <si>
    <t>Ord-022</t>
  </si>
  <si>
    <t>Ord-023</t>
  </si>
  <si>
    <t>Ord-024</t>
  </si>
  <si>
    <t>Ord-025</t>
  </si>
  <si>
    <t>Ord-026</t>
  </si>
  <si>
    <t>Ord-027</t>
  </si>
  <si>
    <t>Ord-028</t>
  </si>
  <si>
    <t>Ord-029</t>
  </si>
  <si>
    <t>Ord-030</t>
  </si>
  <si>
    <t>Ord-031</t>
  </si>
  <si>
    <t>Ord-032</t>
  </si>
  <si>
    <t>Ord-033</t>
  </si>
  <si>
    <t>Ord-034</t>
  </si>
  <si>
    <t>Ord-035</t>
  </si>
  <si>
    <t>Ord-036</t>
  </si>
  <si>
    <t>Ord-037</t>
  </si>
  <si>
    <t>Ord-038</t>
  </si>
  <si>
    <t>Ord-039</t>
  </si>
  <si>
    <t>Ord-040</t>
  </si>
  <si>
    <t>Ord-041</t>
  </si>
  <si>
    <t>Ord-042</t>
  </si>
  <si>
    <t>Ord-043</t>
  </si>
  <si>
    <t>Ord-044</t>
  </si>
  <si>
    <t>Ord-045</t>
  </si>
  <si>
    <t>Ord-046</t>
  </si>
  <si>
    <t>Ord-047</t>
  </si>
  <si>
    <t>Ord-048</t>
  </si>
  <si>
    <t>Ord-049</t>
  </si>
  <si>
    <t>Ord-050</t>
  </si>
  <si>
    <t>Studios</t>
  </si>
  <si>
    <t>Dev_studio</t>
  </si>
  <si>
    <t>.</t>
  </si>
  <si>
    <t>Light Crow Games</t>
  </si>
  <si>
    <t>Blind Raccoon Productions</t>
  </si>
  <si>
    <t>Scary Lizard Productions</t>
  </si>
  <si>
    <t>Rare Spectre Arts</t>
  </si>
  <si>
    <t>Filthy Door Interactive</t>
  </si>
  <si>
    <t>Autotale Arts</t>
  </si>
  <si>
    <t>Winterpunch Game Studios</t>
  </si>
  <si>
    <t>Moonware Interactive</t>
  </si>
  <si>
    <t>Vagabond Interactive</t>
  </si>
  <si>
    <t>Fierce Studios</t>
  </si>
  <si>
    <t>Dapper Bull Media</t>
  </si>
  <si>
    <t>Numb Kitten Productions</t>
  </si>
  <si>
    <t>Golden Boa Interactive</t>
  </si>
  <si>
    <t>Honest Door Entertainment</t>
  </si>
  <si>
    <t>Pretty Mage Arts</t>
  </si>
  <si>
    <t>Subdomain Game Studios</t>
  </si>
  <si>
    <t>Starsoft Productions</t>
  </si>
  <si>
    <t>Thunderjam Interactive</t>
  </si>
  <si>
    <t>Thunderstorm Studios</t>
  </si>
  <si>
    <t>Dumb Luck Entertainment</t>
  </si>
  <si>
    <t>Publishers</t>
  </si>
  <si>
    <t>Diamond Media</t>
  </si>
  <si>
    <t>Cliff Acoustics</t>
  </si>
  <si>
    <t>Alphacom</t>
  </si>
  <si>
    <t>Crypticorps</t>
  </si>
  <si>
    <t>Moondustries</t>
  </si>
  <si>
    <t>Surprisystems</t>
  </si>
  <si>
    <t>Lionshine</t>
  </si>
  <si>
    <t>Fairyhive</t>
  </si>
  <si>
    <t>Heartpoint</t>
  </si>
  <si>
    <t>Publisher</t>
  </si>
  <si>
    <t>PEGI</t>
  </si>
  <si>
    <t>PEGI-3</t>
  </si>
  <si>
    <t>PEGI-7</t>
  </si>
  <si>
    <t>PEGI-12</t>
  </si>
  <si>
    <t>PEGI-16</t>
  </si>
  <si>
    <t>PEGI-18</t>
  </si>
  <si>
    <t>PEGI_rating</t>
  </si>
  <si>
    <t>Wholesale_price</t>
  </si>
  <si>
    <t>Edition</t>
  </si>
  <si>
    <t>Max_profit_margin</t>
  </si>
  <si>
    <t>Editions</t>
  </si>
  <si>
    <t>Ord-051</t>
  </si>
  <si>
    <t>Ord-052</t>
  </si>
  <si>
    <t>Ord-053</t>
  </si>
  <si>
    <t>Ord-054</t>
  </si>
  <si>
    <t>Ord-055</t>
  </si>
  <si>
    <t>Ord-056</t>
  </si>
  <si>
    <t>Ord-057</t>
  </si>
  <si>
    <t>Ord-058</t>
  </si>
  <si>
    <t>Ord-059</t>
  </si>
  <si>
    <t>Ord-060</t>
  </si>
  <si>
    <t>Ord-061</t>
  </si>
  <si>
    <t>Ord-062</t>
  </si>
  <si>
    <t>Ord-063</t>
  </si>
  <si>
    <t>Ord-064</t>
  </si>
  <si>
    <t>Ord-065</t>
  </si>
  <si>
    <t>Ord-066</t>
  </si>
  <si>
    <t>Ord-067</t>
  </si>
  <si>
    <t>Ord-068</t>
  </si>
  <si>
    <t>Ord-069</t>
  </si>
  <si>
    <t>Ord-070</t>
  </si>
  <si>
    <t>Ord-071</t>
  </si>
  <si>
    <t>Ord-072</t>
  </si>
  <si>
    <t>Ord-073</t>
  </si>
  <si>
    <t>Ord-074</t>
  </si>
  <si>
    <t>Ord-075</t>
  </si>
  <si>
    <t>Ord-076</t>
  </si>
  <si>
    <t>Ord-077</t>
  </si>
  <si>
    <t>Ord-078</t>
  </si>
  <si>
    <t>Ord-079</t>
  </si>
  <si>
    <t>Ord-080</t>
  </si>
  <si>
    <t>Ord-081</t>
  </si>
  <si>
    <t>Ord-082</t>
  </si>
  <si>
    <t>Ord-083</t>
  </si>
  <si>
    <t>Ord-084</t>
  </si>
  <si>
    <t>Ord-085</t>
  </si>
  <si>
    <t>Ord-086</t>
  </si>
  <si>
    <t>Ord-087</t>
  </si>
  <si>
    <t>Ord-088</t>
  </si>
  <si>
    <t>Ord-089</t>
  </si>
  <si>
    <t>Ord-090</t>
  </si>
  <si>
    <t>Ord-091</t>
  </si>
  <si>
    <t>Ord-092</t>
  </si>
  <si>
    <t>Ord-093</t>
  </si>
  <si>
    <t>Ord-094</t>
  </si>
  <si>
    <t>Ord-095</t>
  </si>
  <si>
    <t>Ord-096</t>
  </si>
  <si>
    <t>Ord-097</t>
  </si>
  <si>
    <t>Ord-098</t>
  </si>
  <si>
    <t>Ord-099</t>
  </si>
  <si>
    <t>Ord-100</t>
  </si>
  <si>
    <t>Ord_Date</t>
  </si>
  <si>
    <t>Standard</t>
  </si>
  <si>
    <t>Collector</t>
  </si>
  <si>
    <t>Shipping</t>
  </si>
  <si>
    <t>Location</t>
  </si>
  <si>
    <t>LOC</t>
  </si>
  <si>
    <t>GLO</t>
  </si>
  <si>
    <t>Urgency</t>
  </si>
  <si>
    <t>HI</t>
  </si>
  <si>
    <t>ME</t>
  </si>
  <si>
    <t>LO</t>
  </si>
  <si>
    <t>Prime</t>
  </si>
  <si>
    <t>Y</t>
  </si>
  <si>
    <t>N</t>
  </si>
  <si>
    <t>Deluxe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</si>
</sst>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000&quot;"/>
    <numFmt numFmtId="165" formatCode="[$-409]d\-mmm\-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5" fillId="0" borderId="0"/>
    <xf numFmtId="9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1" fillId="0" borderId="0" xfId="0" applyFont="1"/>
    <xf numFmtId="2" fontId="21" fillId="0" borderId="0" xfId="0" applyNumberFormat="1" applyFont="1"/>
    <xf numFmtId="164" fontId="21" fillId="0" borderId="0" xfId="0" applyNumberFormat="1" applyFont="1"/>
    <xf numFmtId="164" fontId="0" fillId="0" borderId="0" xfId="0" applyNumberFormat="1"/>
    <xf numFmtId="1" fontId="21" fillId="0" borderId="0" xfId="0" applyNumberFormat="1" applyFont="1"/>
    <xf numFmtId="1" fontId="0" fillId="0" borderId="0" xfId="0" applyNumberFormat="1"/>
    <xf numFmtId="44" fontId="21" fillId="0" borderId="0" xfId="0" applyNumberFormat="1" applyFont="1"/>
    <xf numFmtId="9" fontId="21" fillId="0" borderId="0" xfId="0" applyNumberFormat="1" applyFont="1"/>
    <xf numFmtId="9" fontId="0" fillId="0" borderId="0" xfId="0" applyNumberFormat="1"/>
    <xf numFmtId="44" fontId="0" fillId="0" borderId="0" xfId="0" applyNumberFormat="1"/>
    <xf numFmtId="165" fontId="21" fillId="0" borderId="0" xfId="0" applyNumberFormat="1" applyFont="1"/>
    <xf numFmtId="165" fontId="0" fillId="0" borderId="0" xfId="0" applyNumberFormat="1"/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25000000}"/>
    <cellStyle name="Normal 3" xfId="44" xr:uid="{00000000-0005-0000-0000-000026000000}"/>
    <cellStyle name="Note" xfId="37" builtinId="10" customBuiltin="1"/>
    <cellStyle name="Output" xfId="38" builtinId="21" customBuiltin="1"/>
    <cellStyle name="Percent 2" xfId="43" xr:uid="{00000000-0005-0000-0000-000029000000}"/>
    <cellStyle name="Percent 3" xfId="45" xr:uid="{00000000-0005-0000-0000-00002A000000}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defaultRowHeight="13.2" x14ac:dyDescent="0.25"/>
  <sheetData>
    <row r="1" spans="1:6" x14ac:dyDescent="0.25">
      <c r="A1" t="s">
        <v>0</v>
      </c>
      <c r="C1" t="s">
        <v>862</v>
      </c>
      <c r="F1" t="s">
        <v>243</v>
      </c>
    </row>
    <row r="2" spans="1:6" x14ac:dyDescent="0.25">
      <c r="A2" t="s">
        <v>1</v>
      </c>
      <c r="C2" t="s">
        <v>863</v>
      </c>
      <c r="F2" t="s">
        <v>244</v>
      </c>
    </row>
    <row r="3" spans="1:6" x14ac:dyDescent="0.25">
      <c r="A3" t="s">
        <v>2</v>
      </c>
      <c r="C3" t="s">
        <v>864</v>
      </c>
      <c r="F3" t="s">
        <v>245</v>
      </c>
    </row>
    <row r="4" spans="1:6" x14ac:dyDescent="0.25">
      <c r="A4" t="s">
        <v>3</v>
      </c>
      <c r="C4" t="s">
        <v>865</v>
      </c>
      <c r="F4" t="s">
        <v>246</v>
      </c>
    </row>
    <row r="5" spans="1:6" x14ac:dyDescent="0.25">
      <c r="A5" t="s">
        <v>4</v>
      </c>
      <c r="C5" t="s">
        <v>866</v>
      </c>
      <c r="F5" t="s">
        <v>247</v>
      </c>
    </row>
    <row r="6" spans="1:6" x14ac:dyDescent="0.25">
      <c r="A6" t="s">
        <v>5</v>
      </c>
      <c r="C6" t="s">
        <v>867</v>
      </c>
      <c r="F6" t="s">
        <v>248</v>
      </c>
    </row>
    <row r="7" spans="1:6" x14ac:dyDescent="0.25">
      <c r="A7" t="s">
        <v>6</v>
      </c>
      <c r="C7" t="s">
        <v>868</v>
      </c>
      <c r="F7" t="s">
        <v>249</v>
      </c>
    </row>
    <row r="8" spans="1:6" x14ac:dyDescent="0.25">
      <c r="A8" t="s">
        <v>7</v>
      </c>
      <c r="C8" t="s">
        <v>869</v>
      </c>
      <c r="F8" t="s">
        <v>250</v>
      </c>
    </row>
    <row r="9" spans="1:6" x14ac:dyDescent="0.25">
      <c r="A9" t="s">
        <v>8</v>
      </c>
      <c r="C9" t="s">
        <v>870</v>
      </c>
      <c r="F9" t="s">
        <v>251</v>
      </c>
    </row>
    <row r="10" spans="1:6" x14ac:dyDescent="0.25">
      <c r="A10" t="s">
        <v>9</v>
      </c>
      <c r="C10" t="s">
        <v>871</v>
      </c>
      <c r="F10" t="s">
        <v>252</v>
      </c>
    </row>
    <row r="11" spans="1:6" x14ac:dyDescent="0.25">
      <c r="A11" t="s">
        <v>10</v>
      </c>
      <c r="C11" t="s">
        <v>872</v>
      </c>
      <c r="F11" t="s">
        <v>253</v>
      </c>
    </row>
    <row r="12" spans="1:6" x14ac:dyDescent="0.25">
      <c r="A12" t="s">
        <v>11</v>
      </c>
      <c r="C12" t="s">
        <v>873</v>
      </c>
      <c r="F12" t="s">
        <v>254</v>
      </c>
    </row>
    <row r="13" spans="1:6" x14ac:dyDescent="0.25">
      <c r="A13" t="s">
        <v>12</v>
      </c>
      <c r="C13" t="s">
        <v>874</v>
      </c>
      <c r="F13" t="s">
        <v>255</v>
      </c>
    </row>
    <row r="14" spans="1:6" x14ac:dyDescent="0.25">
      <c r="A14" t="s">
        <v>13</v>
      </c>
      <c r="C14" t="s">
        <v>875</v>
      </c>
      <c r="F14" t="s">
        <v>256</v>
      </c>
    </row>
    <row r="15" spans="1:6" x14ac:dyDescent="0.25">
      <c r="A15" t="s">
        <v>14</v>
      </c>
      <c r="C15" t="s">
        <v>876</v>
      </c>
      <c r="F15" t="s">
        <v>257</v>
      </c>
    </row>
    <row r="16" spans="1:6" x14ac:dyDescent="0.25">
      <c r="A16" t="s">
        <v>15</v>
      </c>
      <c r="C16" t="s">
        <v>877</v>
      </c>
      <c r="F16" t="s">
        <v>258</v>
      </c>
    </row>
    <row r="17" spans="1:6" x14ac:dyDescent="0.25">
      <c r="A17" t="s">
        <v>16</v>
      </c>
      <c r="C17" t="s">
        <v>878</v>
      </c>
      <c r="F17" t="s">
        <v>259</v>
      </c>
    </row>
    <row r="18" spans="1:6" x14ac:dyDescent="0.25">
      <c r="A18" t="s">
        <v>17</v>
      </c>
      <c r="C18" t="s">
        <v>879</v>
      </c>
      <c r="F18" t="s">
        <v>260</v>
      </c>
    </row>
    <row r="19" spans="1:6" x14ac:dyDescent="0.25">
      <c r="A19" t="s">
        <v>18</v>
      </c>
      <c r="C19" t="s">
        <v>880</v>
      </c>
      <c r="F19" t="s">
        <v>261</v>
      </c>
    </row>
    <row r="20" spans="1:6" x14ac:dyDescent="0.25">
      <c r="A20" t="s">
        <v>19</v>
      </c>
      <c r="C20" t="s">
        <v>881</v>
      </c>
      <c r="F20" t="s">
        <v>262</v>
      </c>
    </row>
    <row r="21" spans="1:6" x14ac:dyDescent="0.25">
      <c r="A21" t="s">
        <v>20</v>
      </c>
      <c r="C21" t="s">
        <v>882</v>
      </c>
      <c r="F21" t="s">
        <v>263</v>
      </c>
    </row>
    <row r="22" spans="1:6" x14ac:dyDescent="0.25">
      <c r="A22" t="s">
        <v>21</v>
      </c>
      <c r="C22" t="s">
        <v>883</v>
      </c>
      <c r="F22" t="s">
        <v>264</v>
      </c>
    </row>
    <row r="23" spans="1:6" x14ac:dyDescent="0.25">
      <c r="A23" t="s">
        <v>22</v>
      </c>
      <c r="C23" t="s">
        <v>884</v>
      </c>
      <c r="F23" t="s">
        <v>265</v>
      </c>
    </row>
    <row r="24" spans="1:6" x14ac:dyDescent="0.25">
      <c r="A24" t="s">
        <v>23</v>
      </c>
      <c r="C24" t="s">
        <v>885</v>
      </c>
      <c r="F24" t="s">
        <v>266</v>
      </c>
    </row>
    <row r="25" spans="1:6" x14ac:dyDescent="0.25">
      <c r="A25" t="s">
        <v>24</v>
      </c>
      <c r="C25" t="s">
        <v>886</v>
      </c>
      <c r="F25" t="s">
        <v>267</v>
      </c>
    </row>
    <row r="26" spans="1:6" x14ac:dyDescent="0.25">
      <c r="A26" t="s">
        <v>25</v>
      </c>
      <c r="C26" t="s">
        <v>887</v>
      </c>
      <c r="F26" t="s">
        <v>268</v>
      </c>
    </row>
    <row r="27" spans="1:6" x14ac:dyDescent="0.25">
      <c r="A27" t="s">
        <v>26</v>
      </c>
      <c r="C27" t="s">
        <v>888</v>
      </c>
      <c r="F27" t="s">
        <v>269</v>
      </c>
    </row>
    <row r="28" spans="1:6" x14ac:dyDescent="0.25">
      <c r="A28" t="s">
        <v>27</v>
      </c>
      <c r="C28" t="s">
        <v>889</v>
      </c>
      <c r="F28" t="s">
        <v>270</v>
      </c>
    </row>
    <row r="29" spans="1:6" x14ac:dyDescent="0.25">
      <c r="A29" t="s">
        <v>28</v>
      </c>
      <c r="C29" t="s">
        <v>890</v>
      </c>
      <c r="F29" t="s">
        <v>271</v>
      </c>
    </row>
    <row r="30" spans="1:6" x14ac:dyDescent="0.25">
      <c r="A30" t="s">
        <v>29</v>
      </c>
      <c r="C30" t="s">
        <v>891</v>
      </c>
      <c r="F30" t="s">
        <v>272</v>
      </c>
    </row>
    <row r="31" spans="1:6" x14ac:dyDescent="0.25">
      <c r="A31" t="s">
        <v>30</v>
      </c>
      <c r="C31" t="s">
        <v>892</v>
      </c>
      <c r="F31" t="s">
        <v>273</v>
      </c>
    </row>
    <row r="32" spans="1:6" x14ac:dyDescent="0.25">
      <c r="A32" t="s">
        <v>31</v>
      </c>
      <c r="C32" t="s">
        <v>893</v>
      </c>
      <c r="F32" t="s">
        <v>229</v>
      </c>
    </row>
    <row r="33" spans="1:6" x14ac:dyDescent="0.25">
      <c r="A33" t="s">
        <v>32</v>
      </c>
      <c r="C33" t="s">
        <v>894</v>
      </c>
      <c r="F33" t="s">
        <v>274</v>
      </c>
    </row>
    <row r="34" spans="1:6" x14ac:dyDescent="0.25">
      <c r="A34" t="s">
        <v>33</v>
      </c>
      <c r="C34" t="s">
        <v>895</v>
      </c>
      <c r="F34" t="s">
        <v>275</v>
      </c>
    </row>
    <row r="35" spans="1:6" x14ac:dyDescent="0.25">
      <c r="A35" t="s">
        <v>34</v>
      </c>
      <c r="C35" t="s">
        <v>896</v>
      </c>
      <c r="F35" t="s">
        <v>276</v>
      </c>
    </row>
    <row r="36" spans="1:6" x14ac:dyDescent="0.25">
      <c r="A36" t="s">
        <v>35</v>
      </c>
      <c r="C36" t="s">
        <v>897</v>
      </c>
      <c r="F36" t="s">
        <v>277</v>
      </c>
    </row>
    <row r="37" spans="1:6" x14ac:dyDescent="0.25">
      <c r="A37" t="s">
        <v>36</v>
      </c>
      <c r="C37" t="s">
        <v>898</v>
      </c>
      <c r="F37" t="s">
        <v>278</v>
      </c>
    </row>
    <row r="38" spans="1:6" x14ac:dyDescent="0.25">
      <c r="A38" t="s">
        <v>37</v>
      </c>
      <c r="C38" t="s">
        <v>899</v>
      </c>
      <c r="F38" t="s">
        <v>279</v>
      </c>
    </row>
    <row r="39" spans="1:6" x14ac:dyDescent="0.25">
      <c r="A39" t="s">
        <v>38</v>
      </c>
      <c r="C39" t="s">
        <v>900</v>
      </c>
      <c r="F39" t="s">
        <v>280</v>
      </c>
    </row>
    <row r="40" spans="1:6" x14ac:dyDescent="0.25">
      <c r="A40" t="s">
        <v>39</v>
      </c>
      <c r="C40" t="s">
        <v>901</v>
      </c>
      <c r="F40" t="s">
        <v>281</v>
      </c>
    </row>
    <row r="41" spans="1:6" x14ac:dyDescent="0.25">
      <c r="A41" t="s">
        <v>40</v>
      </c>
      <c r="C41" t="s">
        <v>902</v>
      </c>
      <c r="F41" t="s">
        <v>282</v>
      </c>
    </row>
    <row r="42" spans="1:6" x14ac:dyDescent="0.25">
      <c r="A42" t="s">
        <v>41</v>
      </c>
      <c r="C42" t="s">
        <v>903</v>
      </c>
      <c r="F42" t="s">
        <v>283</v>
      </c>
    </row>
    <row r="43" spans="1:6" x14ac:dyDescent="0.25">
      <c r="A43" t="s">
        <v>42</v>
      </c>
      <c r="C43" t="s">
        <v>904</v>
      </c>
      <c r="F43" t="s">
        <v>284</v>
      </c>
    </row>
    <row r="44" spans="1:6" x14ac:dyDescent="0.25">
      <c r="A44" t="s">
        <v>43</v>
      </c>
      <c r="C44" t="s">
        <v>905</v>
      </c>
      <c r="F44" t="s">
        <v>285</v>
      </c>
    </row>
    <row r="45" spans="1:6" x14ac:dyDescent="0.25">
      <c r="A45" t="s">
        <v>44</v>
      </c>
      <c r="C45" t="s">
        <v>906</v>
      </c>
      <c r="F45" t="s">
        <v>286</v>
      </c>
    </row>
    <row r="46" spans="1:6" x14ac:dyDescent="0.25">
      <c r="A46" t="s">
        <v>45</v>
      </c>
      <c r="C46" t="s">
        <v>907</v>
      </c>
      <c r="F46" t="s">
        <v>287</v>
      </c>
    </row>
    <row r="47" spans="1:6" x14ac:dyDescent="0.25">
      <c r="A47" t="s">
        <v>46</v>
      </c>
      <c r="C47" t="s">
        <v>908</v>
      </c>
      <c r="F47" t="s">
        <v>288</v>
      </c>
    </row>
    <row r="48" spans="1:6" x14ac:dyDescent="0.25">
      <c r="A48" t="s">
        <v>47</v>
      </c>
      <c r="C48" t="s">
        <v>909</v>
      </c>
      <c r="F48" t="s">
        <v>289</v>
      </c>
    </row>
    <row r="49" spans="1:6" x14ac:dyDescent="0.25">
      <c r="A49" t="s">
        <v>48</v>
      </c>
      <c r="C49" t="s">
        <v>910</v>
      </c>
      <c r="F49" t="s">
        <v>290</v>
      </c>
    </row>
    <row r="50" spans="1:6" x14ac:dyDescent="0.25">
      <c r="A50" t="s">
        <v>49</v>
      </c>
      <c r="C50" t="s">
        <v>911</v>
      </c>
      <c r="F50" t="s">
        <v>291</v>
      </c>
    </row>
    <row r="51" spans="1:6" x14ac:dyDescent="0.25">
      <c r="A51" t="s">
        <v>50</v>
      </c>
      <c r="C51" t="s">
        <v>912</v>
      </c>
      <c r="F51" t="s">
        <v>292</v>
      </c>
    </row>
    <row r="52" spans="1:6" x14ac:dyDescent="0.25">
      <c r="A52" t="s">
        <v>51</v>
      </c>
      <c r="C52" t="s">
        <v>913</v>
      </c>
      <c r="F52" t="s">
        <v>293</v>
      </c>
    </row>
    <row r="53" spans="1:6" x14ac:dyDescent="0.25">
      <c r="A53" t="s">
        <v>52</v>
      </c>
      <c r="C53" t="s">
        <v>914</v>
      </c>
      <c r="F53" t="s">
        <v>294</v>
      </c>
    </row>
    <row r="54" spans="1:6" x14ac:dyDescent="0.25">
      <c r="A54" t="s">
        <v>53</v>
      </c>
      <c r="C54" t="s">
        <v>915</v>
      </c>
      <c r="F54" t="s">
        <v>295</v>
      </c>
    </row>
    <row r="55" spans="1:6" x14ac:dyDescent="0.25">
      <c r="A55" t="s">
        <v>54</v>
      </c>
      <c r="C55" t="s">
        <v>916</v>
      </c>
      <c r="F55" t="s">
        <v>296</v>
      </c>
    </row>
    <row r="56" spans="1:6" x14ac:dyDescent="0.25">
      <c r="A56" t="s">
        <v>55</v>
      </c>
      <c r="C56" t="s">
        <v>917</v>
      </c>
      <c r="F56" t="s">
        <v>297</v>
      </c>
    </row>
    <row r="57" spans="1:6" x14ac:dyDescent="0.25">
      <c r="A57" t="s">
        <v>56</v>
      </c>
      <c r="C57" t="s">
        <v>918</v>
      </c>
      <c r="F57" t="s">
        <v>298</v>
      </c>
    </row>
    <row r="58" spans="1:6" x14ac:dyDescent="0.25">
      <c r="A58" t="s">
        <v>57</v>
      </c>
      <c r="C58" t="s">
        <v>919</v>
      </c>
      <c r="F58" t="s">
        <v>299</v>
      </c>
    </row>
    <row r="59" spans="1:6" x14ac:dyDescent="0.25">
      <c r="A59" t="s">
        <v>58</v>
      </c>
      <c r="C59" t="s">
        <v>920</v>
      </c>
      <c r="F59" t="s">
        <v>300</v>
      </c>
    </row>
    <row r="60" spans="1:6" x14ac:dyDescent="0.25">
      <c r="A60" t="s">
        <v>59</v>
      </c>
      <c r="C60" t="s">
        <v>921</v>
      </c>
      <c r="F60" t="s">
        <v>301</v>
      </c>
    </row>
    <row r="61" spans="1:6" x14ac:dyDescent="0.25">
      <c r="A61" t="s">
        <v>60</v>
      </c>
      <c r="C61" t="s">
        <v>922</v>
      </c>
      <c r="F61" t="s">
        <v>302</v>
      </c>
    </row>
    <row r="62" spans="1:6" x14ac:dyDescent="0.25">
      <c r="A62" t="s">
        <v>61</v>
      </c>
      <c r="C62" t="s">
        <v>923</v>
      </c>
      <c r="F62" t="s">
        <v>303</v>
      </c>
    </row>
    <row r="63" spans="1:6" x14ac:dyDescent="0.25">
      <c r="A63" t="s">
        <v>62</v>
      </c>
      <c r="C63" t="s">
        <v>924</v>
      </c>
      <c r="F63" t="s">
        <v>304</v>
      </c>
    </row>
    <row r="64" spans="1:6" x14ac:dyDescent="0.25">
      <c r="A64" t="s">
        <v>63</v>
      </c>
      <c r="C64" t="s">
        <v>925</v>
      </c>
      <c r="F64" t="s">
        <v>305</v>
      </c>
    </row>
    <row r="65" spans="1:6" x14ac:dyDescent="0.25">
      <c r="A65" t="s">
        <v>64</v>
      </c>
      <c r="C65" t="s">
        <v>926</v>
      </c>
      <c r="F65" t="s">
        <v>306</v>
      </c>
    </row>
    <row r="66" spans="1:6" x14ac:dyDescent="0.25">
      <c r="A66" t="s">
        <v>65</v>
      </c>
      <c r="C66" t="s">
        <v>927</v>
      </c>
      <c r="F66" t="s">
        <v>307</v>
      </c>
    </row>
    <row r="67" spans="1:6" x14ac:dyDescent="0.25">
      <c r="A67" t="s">
        <v>66</v>
      </c>
      <c r="C67" t="s">
        <v>928</v>
      </c>
      <c r="F67" t="s">
        <v>308</v>
      </c>
    </row>
    <row r="68" spans="1:6" x14ac:dyDescent="0.25">
      <c r="A68" t="s">
        <v>67</v>
      </c>
      <c r="C68" t="s">
        <v>929</v>
      </c>
      <c r="F68" t="s">
        <v>309</v>
      </c>
    </row>
    <row r="69" spans="1:6" x14ac:dyDescent="0.25">
      <c r="A69" t="s">
        <v>68</v>
      </c>
      <c r="C69" t="s">
        <v>930</v>
      </c>
      <c r="F69" t="s">
        <v>310</v>
      </c>
    </row>
    <row r="70" spans="1:6" x14ac:dyDescent="0.25">
      <c r="A70" t="s">
        <v>69</v>
      </c>
      <c r="C70" t="s">
        <v>931</v>
      </c>
      <c r="F70" t="s">
        <v>311</v>
      </c>
    </row>
    <row r="71" spans="1:6" x14ac:dyDescent="0.25">
      <c r="A71" t="s">
        <v>70</v>
      </c>
      <c r="C71" t="s">
        <v>932</v>
      </c>
      <c r="F71" t="s">
        <v>312</v>
      </c>
    </row>
    <row r="72" spans="1:6" x14ac:dyDescent="0.25">
      <c r="A72" t="s">
        <v>71</v>
      </c>
      <c r="C72" t="s">
        <v>933</v>
      </c>
      <c r="F72" t="s">
        <v>313</v>
      </c>
    </row>
    <row r="73" spans="1:6" x14ac:dyDescent="0.25">
      <c r="A73" t="s">
        <v>72</v>
      </c>
      <c r="C73" t="s">
        <v>934</v>
      </c>
      <c r="F73" t="s">
        <v>314</v>
      </c>
    </row>
    <row r="74" spans="1:6" x14ac:dyDescent="0.25">
      <c r="A74" t="s">
        <v>73</v>
      </c>
      <c r="C74" t="s">
        <v>935</v>
      </c>
      <c r="F74" t="s">
        <v>315</v>
      </c>
    </row>
    <row r="75" spans="1:6" x14ac:dyDescent="0.25">
      <c r="A75" t="s">
        <v>74</v>
      </c>
      <c r="C75" t="s">
        <v>936</v>
      </c>
      <c r="F75" t="s">
        <v>316</v>
      </c>
    </row>
    <row r="76" spans="1:6" x14ac:dyDescent="0.25">
      <c r="A76" t="s">
        <v>75</v>
      </c>
      <c r="C76" t="s">
        <v>937</v>
      </c>
      <c r="F76" t="s">
        <v>317</v>
      </c>
    </row>
    <row r="77" spans="1:6" x14ac:dyDescent="0.25">
      <c r="A77" t="s">
        <v>76</v>
      </c>
      <c r="C77" t="s">
        <v>938</v>
      </c>
      <c r="F77" t="s">
        <v>318</v>
      </c>
    </row>
    <row r="78" spans="1:6" x14ac:dyDescent="0.25">
      <c r="A78" t="s">
        <v>77</v>
      </c>
      <c r="C78" t="s">
        <v>939</v>
      </c>
      <c r="F78" t="s">
        <v>319</v>
      </c>
    </row>
    <row r="79" spans="1:6" x14ac:dyDescent="0.25">
      <c r="A79" t="s">
        <v>78</v>
      </c>
      <c r="C79" t="s">
        <v>940</v>
      </c>
      <c r="F79" t="s">
        <v>320</v>
      </c>
    </row>
    <row r="80" spans="1:6" x14ac:dyDescent="0.25">
      <c r="A80" t="s">
        <v>79</v>
      </c>
      <c r="C80" t="s">
        <v>941</v>
      </c>
      <c r="F80" t="s">
        <v>321</v>
      </c>
    </row>
    <row r="81" spans="1:6" x14ac:dyDescent="0.25">
      <c r="A81" t="s">
        <v>80</v>
      </c>
      <c r="C81" t="s">
        <v>942</v>
      </c>
      <c r="F81" t="s">
        <v>322</v>
      </c>
    </row>
    <row r="82" spans="1:6" x14ac:dyDescent="0.25">
      <c r="A82" t="s">
        <v>81</v>
      </c>
      <c r="C82" t="s">
        <v>943</v>
      </c>
      <c r="F82" t="s">
        <v>323</v>
      </c>
    </row>
    <row r="83" spans="1:6" x14ac:dyDescent="0.25">
      <c r="A83" t="s">
        <v>82</v>
      </c>
      <c r="C83" t="s">
        <v>944</v>
      </c>
      <c r="F83" t="s">
        <v>324</v>
      </c>
    </row>
    <row r="84" spans="1:6" x14ac:dyDescent="0.25">
      <c r="A84" t="s">
        <v>83</v>
      </c>
      <c r="C84" t="s">
        <v>945</v>
      </c>
      <c r="F84" t="s">
        <v>325</v>
      </c>
    </row>
    <row r="85" spans="1:6" x14ac:dyDescent="0.25">
      <c r="A85" t="s">
        <v>84</v>
      </c>
      <c r="C85" t="s">
        <v>946</v>
      </c>
      <c r="F85" t="s">
        <v>326</v>
      </c>
    </row>
    <row r="86" spans="1:6" x14ac:dyDescent="0.25">
      <c r="A86" t="s">
        <v>85</v>
      </c>
      <c r="C86" t="s">
        <v>947</v>
      </c>
      <c r="F86" t="s">
        <v>327</v>
      </c>
    </row>
    <row r="87" spans="1:6" x14ac:dyDescent="0.25">
      <c r="A87" t="s">
        <v>86</v>
      </c>
      <c r="C87" t="s">
        <v>948</v>
      </c>
      <c r="F87" t="s">
        <v>13</v>
      </c>
    </row>
    <row r="88" spans="1:6" x14ac:dyDescent="0.25">
      <c r="A88" t="s">
        <v>87</v>
      </c>
      <c r="C88" t="s">
        <v>949</v>
      </c>
      <c r="F88" t="s">
        <v>328</v>
      </c>
    </row>
    <row r="89" spans="1:6" x14ac:dyDescent="0.25">
      <c r="A89" t="s">
        <v>88</v>
      </c>
      <c r="C89" t="s">
        <v>950</v>
      </c>
      <c r="F89" t="s">
        <v>329</v>
      </c>
    </row>
    <row r="90" spans="1:6" x14ac:dyDescent="0.25">
      <c r="A90" t="s">
        <v>89</v>
      </c>
      <c r="C90" t="s">
        <v>951</v>
      </c>
      <c r="F90" t="s">
        <v>330</v>
      </c>
    </row>
    <row r="91" spans="1:6" x14ac:dyDescent="0.25">
      <c r="A91" t="s">
        <v>90</v>
      </c>
      <c r="C91" t="s">
        <v>952</v>
      </c>
      <c r="F91" t="s">
        <v>331</v>
      </c>
    </row>
    <row r="92" spans="1:6" x14ac:dyDescent="0.25">
      <c r="A92" t="s">
        <v>91</v>
      </c>
      <c r="C92" t="s">
        <v>953</v>
      </c>
      <c r="F92" t="s">
        <v>332</v>
      </c>
    </row>
    <row r="93" spans="1:6" x14ac:dyDescent="0.25">
      <c r="A93" t="s">
        <v>92</v>
      </c>
      <c r="C93" t="s">
        <v>954</v>
      </c>
      <c r="F93" t="s">
        <v>333</v>
      </c>
    </row>
    <row r="94" spans="1:6" x14ac:dyDescent="0.25">
      <c r="A94" t="s">
        <v>93</v>
      </c>
      <c r="C94" t="s">
        <v>955</v>
      </c>
      <c r="F94" t="s">
        <v>334</v>
      </c>
    </row>
    <row r="95" spans="1:6" x14ac:dyDescent="0.25">
      <c r="A95" t="s">
        <v>94</v>
      </c>
      <c r="C95" t="s">
        <v>956</v>
      </c>
      <c r="F95" t="s">
        <v>335</v>
      </c>
    </row>
    <row r="96" spans="1:6" x14ac:dyDescent="0.25">
      <c r="A96" t="s">
        <v>95</v>
      </c>
      <c r="C96" t="s">
        <v>957</v>
      </c>
      <c r="F96" t="s">
        <v>336</v>
      </c>
    </row>
    <row r="97" spans="1:6" x14ac:dyDescent="0.25">
      <c r="A97" t="s">
        <v>96</v>
      </c>
      <c r="C97" t="s">
        <v>958</v>
      </c>
      <c r="F97" t="s">
        <v>337</v>
      </c>
    </row>
    <row r="98" spans="1:6" x14ac:dyDescent="0.25">
      <c r="A98" t="s">
        <v>97</v>
      </c>
      <c r="C98" t="s">
        <v>959</v>
      </c>
      <c r="F98" t="s">
        <v>338</v>
      </c>
    </row>
    <row r="99" spans="1:6" x14ac:dyDescent="0.25">
      <c r="A99" t="s">
        <v>98</v>
      </c>
      <c r="C99" t="s">
        <v>960</v>
      </c>
      <c r="F99" t="s">
        <v>339</v>
      </c>
    </row>
    <row r="100" spans="1:6" x14ac:dyDescent="0.25">
      <c r="A100" t="s">
        <v>99</v>
      </c>
      <c r="C100" t="s">
        <v>961</v>
      </c>
      <c r="F100" t="s">
        <v>340</v>
      </c>
    </row>
    <row r="101" spans="1:6" x14ac:dyDescent="0.25">
      <c r="A101" t="s">
        <v>100</v>
      </c>
      <c r="C101" t="s">
        <v>962</v>
      </c>
      <c r="F101" t="s">
        <v>341</v>
      </c>
    </row>
    <row r="102" spans="1:6" x14ac:dyDescent="0.25">
      <c r="A102" t="s">
        <v>101</v>
      </c>
      <c r="C102" t="s">
        <v>963</v>
      </c>
      <c r="F102" t="s">
        <v>342</v>
      </c>
    </row>
    <row r="103" spans="1:6" x14ac:dyDescent="0.25">
      <c r="A103" t="s">
        <v>102</v>
      </c>
      <c r="C103" t="s">
        <v>964</v>
      </c>
      <c r="F103" t="s">
        <v>343</v>
      </c>
    </row>
    <row r="104" spans="1:6" x14ac:dyDescent="0.25">
      <c r="A104" t="s">
        <v>103</v>
      </c>
      <c r="C104" t="s">
        <v>965</v>
      </c>
      <c r="F104" t="s">
        <v>344</v>
      </c>
    </row>
    <row r="105" spans="1:6" x14ac:dyDescent="0.25">
      <c r="A105" t="s">
        <v>104</v>
      </c>
      <c r="C105" t="s">
        <v>966</v>
      </c>
      <c r="F105" t="s">
        <v>345</v>
      </c>
    </row>
    <row r="106" spans="1:6" x14ac:dyDescent="0.25">
      <c r="A106" t="s">
        <v>105</v>
      </c>
      <c r="C106" t="s">
        <v>967</v>
      </c>
      <c r="F106" t="s">
        <v>346</v>
      </c>
    </row>
    <row r="107" spans="1:6" x14ac:dyDescent="0.25">
      <c r="A107" t="s">
        <v>106</v>
      </c>
      <c r="C107" t="s">
        <v>968</v>
      </c>
      <c r="F107" t="s">
        <v>347</v>
      </c>
    </row>
    <row r="108" spans="1:6" x14ac:dyDescent="0.25">
      <c r="A108" t="s">
        <v>107</v>
      </c>
      <c r="C108" t="s">
        <v>969</v>
      </c>
      <c r="F108" t="s">
        <v>348</v>
      </c>
    </row>
    <row r="109" spans="1:6" x14ac:dyDescent="0.25">
      <c r="A109" t="s">
        <v>108</v>
      </c>
      <c r="C109" t="s">
        <v>970</v>
      </c>
      <c r="F109" t="s">
        <v>349</v>
      </c>
    </row>
    <row r="110" spans="1:6" x14ac:dyDescent="0.25">
      <c r="A110" t="s">
        <v>109</v>
      </c>
      <c r="C110" t="s">
        <v>971</v>
      </c>
      <c r="F110" t="s">
        <v>350</v>
      </c>
    </row>
    <row r="111" spans="1:6" x14ac:dyDescent="0.25">
      <c r="A111" t="s">
        <v>110</v>
      </c>
      <c r="C111" t="s">
        <v>972</v>
      </c>
      <c r="F111" t="s">
        <v>351</v>
      </c>
    </row>
    <row r="112" spans="1:6" x14ac:dyDescent="0.25">
      <c r="A112" t="s">
        <v>111</v>
      </c>
      <c r="C112" t="s">
        <v>973</v>
      </c>
      <c r="F112" t="s">
        <v>352</v>
      </c>
    </row>
    <row r="113" spans="1:6" x14ac:dyDescent="0.25">
      <c r="A113" t="s">
        <v>112</v>
      </c>
      <c r="C113" t="s">
        <v>974</v>
      </c>
      <c r="F113" t="s">
        <v>353</v>
      </c>
    </row>
    <row r="114" spans="1:6" x14ac:dyDescent="0.25">
      <c r="A114" t="s">
        <v>113</v>
      </c>
      <c r="C114" t="s">
        <v>975</v>
      </c>
      <c r="F114" t="s">
        <v>354</v>
      </c>
    </row>
    <row r="115" spans="1:6" x14ac:dyDescent="0.25">
      <c r="A115" t="s">
        <v>114</v>
      </c>
      <c r="C115" t="s">
        <v>976</v>
      </c>
      <c r="F115" t="s">
        <v>355</v>
      </c>
    </row>
    <row r="116" spans="1:6" x14ac:dyDescent="0.25">
      <c r="A116" t="s">
        <v>115</v>
      </c>
      <c r="C116" t="s">
        <v>977</v>
      </c>
      <c r="F116" t="s">
        <v>356</v>
      </c>
    </row>
    <row r="117" spans="1:6" x14ac:dyDescent="0.25">
      <c r="A117" t="s">
        <v>116</v>
      </c>
      <c r="C117" t="s">
        <v>978</v>
      </c>
      <c r="F117" t="s">
        <v>357</v>
      </c>
    </row>
    <row r="118" spans="1:6" x14ac:dyDescent="0.25">
      <c r="A118" t="s">
        <v>117</v>
      </c>
      <c r="C118" t="s">
        <v>979</v>
      </c>
      <c r="F118" t="s">
        <v>358</v>
      </c>
    </row>
    <row r="119" spans="1:6" x14ac:dyDescent="0.25">
      <c r="A119" t="s">
        <v>118</v>
      </c>
      <c r="C119" t="s">
        <v>980</v>
      </c>
      <c r="F119" t="s">
        <v>359</v>
      </c>
    </row>
    <row r="120" spans="1:6" x14ac:dyDescent="0.25">
      <c r="A120" t="s">
        <v>119</v>
      </c>
      <c r="C120" t="s">
        <v>981</v>
      </c>
      <c r="F120" t="s">
        <v>360</v>
      </c>
    </row>
    <row r="121" spans="1:6" x14ac:dyDescent="0.25">
      <c r="A121" t="s">
        <v>120</v>
      </c>
      <c r="C121" t="s">
        <v>982</v>
      </c>
      <c r="F121" t="s">
        <v>361</v>
      </c>
    </row>
    <row r="122" spans="1:6" x14ac:dyDescent="0.25">
      <c r="A122" t="s">
        <v>121</v>
      </c>
      <c r="C122" t="s">
        <v>983</v>
      </c>
      <c r="F122" t="s">
        <v>362</v>
      </c>
    </row>
    <row r="123" spans="1:6" x14ac:dyDescent="0.25">
      <c r="A123" t="s">
        <v>122</v>
      </c>
      <c r="C123" t="s">
        <v>984</v>
      </c>
      <c r="F123" t="s">
        <v>363</v>
      </c>
    </row>
    <row r="124" spans="1:6" x14ac:dyDescent="0.25">
      <c r="A124" t="s">
        <v>123</v>
      </c>
      <c r="C124" t="s">
        <v>985</v>
      </c>
      <c r="F124" t="s">
        <v>364</v>
      </c>
    </row>
    <row r="125" spans="1:6" x14ac:dyDescent="0.25">
      <c r="A125" t="s">
        <v>124</v>
      </c>
      <c r="C125" t="s">
        <v>986</v>
      </c>
      <c r="F125" t="s">
        <v>365</v>
      </c>
    </row>
    <row r="126" spans="1:6" x14ac:dyDescent="0.25">
      <c r="A126" t="s">
        <v>125</v>
      </c>
      <c r="C126" t="s">
        <v>987</v>
      </c>
      <c r="F126" t="s">
        <v>366</v>
      </c>
    </row>
    <row r="127" spans="1:6" x14ac:dyDescent="0.25">
      <c r="A127" t="s">
        <v>126</v>
      </c>
      <c r="C127" t="s">
        <v>988</v>
      </c>
      <c r="F127" t="s">
        <v>367</v>
      </c>
    </row>
    <row r="128" spans="1:6" x14ac:dyDescent="0.25">
      <c r="A128" t="s">
        <v>127</v>
      </c>
      <c r="C128" t="s">
        <v>989</v>
      </c>
      <c r="F128" t="s">
        <v>368</v>
      </c>
    </row>
    <row r="129" spans="1:6" x14ac:dyDescent="0.25">
      <c r="A129" t="s">
        <v>128</v>
      </c>
      <c r="C129" t="s">
        <v>990</v>
      </c>
      <c r="F129" t="s">
        <v>369</v>
      </c>
    </row>
    <row r="130" spans="1:6" x14ac:dyDescent="0.25">
      <c r="A130" t="s">
        <v>129</v>
      </c>
      <c r="C130" t="s">
        <v>991</v>
      </c>
      <c r="F130" t="s">
        <v>370</v>
      </c>
    </row>
    <row r="131" spans="1:6" x14ac:dyDescent="0.25">
      <c r="A131" t="s">
        <v>130</v>
      </c>
      <c r="C131" t="s">
        <v>992</v>
      </c>
      <c r="F131" t="s">
        <v>371</v>
      </c>
    </row>
    <row r="132" spans="1:6" x14ac:dyDescent="0.25">
      <c r="A132" t="s">
        <v>131</v>
      </c>
      <c r="C132" t="s">
        <v>993</v>
      </c>
      <c r="F132" t="s">
        <v>372</v>
      </c>
    </row>
    <row r="133" spans="1:6" x14ac:dyDescent="0.25">
      <c r="A133" t="s">
        <v>132</v>
      </c>
      <c r="C133" t="s">
        <v>994</v>
      </c>
      <c r="F133" t="s">
        <v>373</v>
      </c>
    </row>
    <row r="134" spans="1:6" x14ac:dyDescent="0.25">
      <c r="A134" t="s">
        <v>133</v>
      </c>
      <c r="C134" t="s">
        <v>995</v>
      </c>
      <c r="F134" t="s">
        <v>374</v>
      </c>
    </row>
    <row r="135" spans="1:6" x14ac:dyDescent="0.25">
      <c r="A135" t="s">
        <v>134</v>
      </c>
      <c r="C135" t="s">
        <v>996</v>
      </c>
      <c r="F135" t="s">
        <v>375</v>
      </c>
    </row>
    <row r="136" spans="1:6" x14ac:dyDescent="0.25">
      <c r="A136" t="s">
        <v>135</v>
      </c>
      <c r="C136" t="s">
        <v>997</v>
      </c>
      <c r="F136" t="s">
        <v>376</v>
      </c>
    </row>
    <row r="137" spans="1:6" x14ac:dyDescent="0.25">
      <c r="A137" t="s">
        <v>136</v>
      </c>
      <c r="C137" t="s">
        <v>998</v>
      </c>
      <c r="F137" t="s">
        <v>377</v>
      </c>
    </row>
    <row r="138" spans="1:6" x14ac:dyDescent="0.25">
      <c r="A138" t="s">
        <v>137</v>
      </c>
      <c r="C138" t="s">
        <v>999</v>
      </c>
      <c r="F138" t="s">
        <v>378</v>
      </c>
    </row>
    <row r="139" spans="1:6" x14ac:dyDescent="0.25">
      <c r="A139" t="s">
        <v>138</v>
      </c>
      <c r="C139" t="s">
        <v>1000</v>
      </c>
      <c r="F139" t="s">
        <v>379</v>
      </c>
    </row>
    <row r="140" spans="1:6" x14ac:dyDescent="0.25">
      <c r="A140" t="s">
        <v>139</v>
      </c>
      <c r="C140" t="s">
        <v>1001</v>
      </c>
      <c r="F140" t="s">
        <v>380</v>
      </c>
    </row>
    <row r="141" spans="1:6" x14ac:dyDescent="0.25">
      <c r="A141" t="s">
        <v>140</v>
      </c>
      <c r="C141" t="s">
        <v>1002</v>
      </c>
      <c r="F141" t="s">
        <v>381</v>
      </c>
    </row>
    <row r="142" spans="1:6" x14ac:dyDescent="0.25">
      <c r="A142" t="s">
        <v>141</v>
      </c>
      <c r="C142" t="s">
        <v>1003</v>
      </c>
      <c r="F142" t="s">
        <v>382</v>
      </c>
    </row>
    <row r="143" spans="1:6" x14ac:dyDescent="0.25">
      <c r="A143" t="s">
        <v>142</v>
      </c>
      <c r="C143" t="s">
        <v>1004</v>
      </c>
      <c r="F143" t="s">
        <v>383</v>
      </c>
    </row>
    <row r="144" spans="1:6" x14ac:dyDescent="0.25">
      <c r="A144" t="s">
        <v>143</v>
      </c>
      <c r="C144" t="s">
        <v>1005</v>
      </c>
      <c r="F144" t="s">
        <v>384</v>
      </c>
    </row>
    <row r="145" spans="1:6" x14ac:dyDescent="0.25">
      <c r="A145" t="s">
        <v>144</v>
      </c>
      <c r="C145" t="s">
        <v>1006</v>
      </c>
      <c r="F145" t="s">
        <v>385</v>
      </c>
    </row>
    <row r="146" spans="1:6" x14ac:dyDescent="0.25">
      <c r="A146" t="s">
        <v>145</v>
      </c>
      <c r="C146" t="s">
        <v>1007</v>
      </c>
      <c r="F146" t="s">
        <v>386</v>
      </c>
    </row>
    <row r="147" spans="1:6" x14ac:dyDescent="0.25">
      <c r="A147" t="s">
        <v>146</v>
      </c>
      <c r="C147" t="s">
        <v>1008</v>
      </c>
      <c r="F147" t="s">
        <v>387</v>
      </c>
    </row>
    <row r="148" spans="1:6" x14ac:dyDescent="0.25">
      <c r="A148" t="s">
        <v>147</v>
      </c>
      <c r="C148" t="s">
        <v>1009</v>
      </c>
      <c r="F148" t="s">
        <v>388</v>
      </c>
    </row>
    <row r="149" spans="1:6" x14ac:dyDescent="0.25">
      <c r="A149" t="s">
        <v>148</v>
      </c>
      <c r="C149" t="s">
        <v>1010</v>
      </c>
      <c r="F149" t="s">
        <v>389</v>
      </c>
    </row>
    <row r="150" spans="1:6" x14ac:dyDescent="0.25">
      <c r="A150" t="s">
        <v>149</v>
      </c>
      <c r="C150" t="s">
        <v>1011</v>
      </c>
      <c r="F150" t="s">
        <v>390</v>
      </c>
    </row>
    <row r="151" spans="1:6" x14ac:dyDescent="0.25">
      <c r="A151" t="s">
        <v>150</v>
      </c>
      <c r="C151" t="s">
        <v>1012</v>
      </c>
      <c r="F151" t="s">
        <v>391</v>
      </c>
    </row>
    <row r="152" spans="1:6" x14ac:dyDescent="0.25">
      <c r="A152" t="s">
        <v>151</v>
      </c>
      <c r="C152" t="s">
        <v>1013</v>
      </c>
      <c r="F152" t="s">
        <v>392</v>
      </c>
    </row>
    <row r="153" spans="1:6" x14ac:dyDescent="0.25">
      <c r="A153" t="s">
        <v>152</v>
      </c>
      <c r="C153" t="s">
        <v>1014</v>
      </c>
      <c r="F153" t="s">
        <v>393</v>
      </c>
    </row>
    <row r="154" spans="1:6" x14ac:dyDescent="0.25">
      <c r="A154" t="s">
        <v>153</v>
      </c>
      <c r="C154" t="s">
        <v>1015</v>
      </c>
      <c r="F154" t="s">
        <v>394</v>
      </c>
    </row>
    <row r="155" spans="1:6" x14ac:dyDescent="0.25">
      <c r="A155" t="s">
        <v>154</v>
      </c>
      <c r="C155" t="s">
        <v>1016</v>
      </c>
      <c r="F155" t="s">
        <v>395</v>
      </c>
    </row>
    <row r="156" spans="1:6" x14ac:dyDescent="0.25">
      <c r="A156" t="s">
        <v>155</v>
      </c>
      <c r="C156" t="s">
        <v>1017</v>
      </c>
      <c r="F156" t="s">
        <v>396</v>
      </c>
    </row>
    <row r="157" spans="1:6" x14ac:dyDescent="0.25">
      <c r="A157" t="s">
        <v>156</v>
      </c>
      <c r="C157" t="s">
        <v>1018</v>
      </c>
      <c r="F157" t="s">
        <v>397</v>
      </c>
    </row>
    <row r="158" spans="1:6" x14ac:dyDescent="0.25">
      <c r="A158" t="s">
        <v>157</v>
      </c>
      <c r="C158" t="s">
        <v>1019</v>
      </c>
      <c r="F158" t="s">
        <v>398</v>
      </c>
    </row>
    <row r="159" spans="1:6" x14ac:dyDescent="0.25">
      <c r="A159" t="s">
        <v>158</v>
      </c>
      <c r="C159" t="s">
        <v>1020</v>
      </c>
      <c r="F159" t="s">
        <v>399</v>
      </c>
    </row>
    <row r="160" spans="1:6" x14ac:dyDescent="0.25">
      <c r="A160" t="s">
        <v>159</v>
      </c>
      <c r="C160" t="s">
        <v>1021</v>
      </c>
      <c r="F160" t="s">
        <v>400</v>
      </c>
    </row>
    <row r="161" spans="1:6" x14ac:dyDescent="0.25">
      <c r="A161" t="s">
        <v>160</v>
      </c>
      <c r="C161" t="s">
        <v>1022</v>
      </c>
      <c r="F161" t="s">
        <v>401</v>
      </c>
    </row>
    <row r="162" spans="1:6" x14ac:dyDescent="0.25">
      <c r="A162" t="s">
        <v>161</v>
      </c>
      <c r="C162" t="s">
        <v>1023</v>
      </c>
      <c r="F162" t="s">
        <v>402</v>
      </c>
    </row>
    <row r="163" spans="1:6" x14ac:dyDescent="0.25">
      <c r="A163" t="s">
        <v>162</v>
      </c>
      <c r="C163" t="s">
        <v>1024</v>
      </c>
      <c r="F163" t="s">
        <v>403</v>
      </c>
    </row>
    <row r="164" spans="1:6" x14ac:dyDescent="0.25">
      <c r="A164" t="s">
        <v>163</v>
      </c>
      <c r="C164" t="s">
        <v>1025</v>
      </c>
      <c r="F164" t="s">
        <v>404</v>
      </c>
    </row>
    <row r="165" spans="1:6" x14ac:dyDescent="0.25">
      <c r="A165" t="s">
        <v>164</v>
      </c>
      <c r="C165" t="s">
        <v>1026</v>
      </c>
      <c r="F165" t="s">
        <v>405</v>
      </c>
    </row>
    <row r="166" spans="1:6" x14ac:dyDescent="0.25">
      <c r="A166" t="s">
        <v>165</v>
      </c>
      <c r="C166" t="s">
        <v>1027</v>
      </c>
      <c r="F166" t="s">
        <v>406</v>
      </c>
    </row>
    <row r="167" spans="1:6" x14ac:dyDescent="0.25">
      <c r="A167" t="s">
        <v>166</v>
      </c>
      <c r="C167" t="s">
        <v>1028</v>
      </c>
      <c r="F167" t="s">
        <v>407</v>
      </c>
    </row>
    <row r="168" spans="1:6" x14ac:dyDescent="0.25">
      <c r="A168" t="s">
        <v>167</v>
      </c>
      <c r="C168" t="s">
        <v>1029</v>
      </c>
      <c r="F168" t="s">
        <v>408</v>
      </c>
    </row>
    <row r="169" spans="1:6" x14ac:dyDescent="0.25">
      <c r="A169" t="s">
        <v>168</v>
      </c>
      <c r="C169" t="s">
        <v>1030</v>
      </c>
      <c r="F169" t="s">
        <v>409</v>
      </c>
    </row>
    <row r="170" spans="1:6" x14ac:dyDescent="0.25">
      <c r="A170" t="s">
        <v>169</v>
      </c>
      <c r="C170" t="s">
        <v>1031</v>
      </c>
      <c r="F170" t="s">
        <v>410</v>
      </c>
    </row>
    <row r="171" spans="1:6" x14ac:dyDescent="0.25">
      <c r="A171" t="s">
        <v>170</v>
      </c>
      <c r="C171" t="s">
        <v>1032</v>
      </c>
      <c r="F171" t="s">
        <v>411</v>
      </c>
    </row>
    <row r="172" spans="1:6" x14ac:dyDescent="0.25">
      <c r="A172" t="s">
        <v>171</v>
      </c>
      <c r="C172" t="s">
        <v>1033</v>
      </c>
      <c r="F172" t="s">
        <v>412</v>
      </c>
    </row>
    <row r="173" spans="1:6" x14ac:dyDescent="0.25">
      <c r="A173" t="s">
        <v>172</v>
      </c>
      <c r="C173" t="s">
        <v>1034</v>
      </c>
      <c r="F173" t="s">
        <v>413</v>
      </c>
    </row>
    <row r="174" spans="1:6" x14ac:dyDescent="0.25">
      <c r="A174" t="s">
        <v>173</v>
      </c>
      <c r="C174" t="s">
        <v>1035</v>
      </c>
      <c r="F174" t="s">
        <v>414</v>
      </c>
    </row>
    <row r="175" spans="1:6" x14ac:dyDescent="0.25">
      <c r="A175" t="s">
        <v>174</v>
      </c>
      <c r="C175" t="s">
        <v>1036</v>
      </c>
      <c r="F175" t="s">
        <v>415</v>
      </c>
    </row>
    <row r="176" spans="1:6" x14ac:dyDescent="0.25">
      <c r="A176" t="s">
        <v>175</v>
      </c>
      <c r="C176" t="s">
        <v>1037</v>
      </c>
      <c r="F176" t="s">
        <v>416</v>
      </c>
    </row>
    <row r="177" spans="1:6" x14ac:dyDescent="0.25">
      <c r="A177" t="s">
        <v>176</v>
      </c>
      <c r="C177" t="s">
        <v>1038</v>
      </c>
      <c r="F177" t="s">
        <v>417</v>
      </c>
    </row>
    <row r="178" spans="1:6" x14ac:dyDescent="0.25">
      <c r="A178" t="s">
        <v>177</v>
      </c>
      <c r="C178" t="s">
        <v>1039</v>
      </c>
      <c r="F178" t="s">
        <v>418</v>
      </c>
    </row>
    <row r="179" spans="1:6" x14ac:dyDescent="0.25">
      <c r="A179" t="s">
        <v>178</v>
      </c>
      <c r="C179" t="s">
        <v>1040</v>
      </c>
      <c r="F179" t="s">
        <v>419</v>
      </c>
    </row>
    <row r="180" spans="1:6" x14ac:dyDescent="0.25">
      <c r="A180" t="s">
        <v>179</v>
      </c>
      <c r="C180" t="s">
        <v>1041</v>
      </c>
      <c r="F180" t="s">
        <v>420</v>
      </c>
    </row>
    <row r="181" spans="1:6" x14ac:dyDescent="0.25">
      <c r="A181" t="s">
        <v>180</v>
      </c>
      <c r="C181" t="s">
        <v>1042</v>
      </c>
      <c r="F181" t="s">
        <v>421</v>
      </c>
    </row>
    <row r="182" spans="1:6" x14ac:dyDescent="0.25">
      <c r="A182" t="s">
        <v>181</v>
      </c>
      <c r="C182" t="s">
        <v>1043</v>
      </c>
      <c r="F182" t="s">
        <v>422</v>
      </c>
    </row>
    <row r="183" spans="1:6" x14ac:dyDescent="0.25">
      <c r="A183" t="s">
        <v>182</v>
      </c>
      <c r="C183" t="s">
        <v>1044</v>
      </c>
      <c r="F183" t="s">
        <v>423</v>
      </c>
    </row>
    <row r="184" spans="1:6" x14ac:dyDescent="0.25">
      <c r="A184" t="s">
        <v>183</v>
      </c>
      <c r="C184" t="s">
        <v>1045</v>
      </c>
      <c r="F184" t="s">
        <v>424</v>
      </c>
    </row>
    <row r="185" spans="1:6" x14ac:dyDescent="0.25">
      <c r="A185" t="s">
        <v>184</v>
      </c>
      <c r="C185" t="s">
        <v>1046</v>
      </c>
      <c r="F185" t="s">
        <v>425</v>
      </c>
    </row>
    <row r="186" spans="1:6" x14ac:dyDescent="0.25">
      <c r="A186" t="s">
        <v>185</v>
      </c>
      <c r="C186" t="s">
        <v>1047</v>
      </c>
      <c r="F186" t="s">
        <v>426</v>
      </c>
    </row>
    <row r="187" spans="1:6" x14ac:dyDescent="0.25">
      <c r="A187" t="s">
        <v>186</v>
      </c>
      <c r="C187" t="s">
        <v>1048</v>
      </c>
      <c r="F187" t="s">
        <v>427</v>
      </c>
    </row>
    <row r="188" spans="1:6" x14ac:dyDescent="0.25">
      <c r="A188" t="s">
        <v>187</v>
      </c>
      <c r="C188" t="s">
        <v>1049</v>
      </c>
      <c r="F188" t="s">
        <v>428</v>
      </c>
    </row>
    <row r="189" spans="1:6" x14ac:dyDescent="0.25">
      <c r="A189" t="s">
        <v>188</v>
      </c>
      <c r="C189" t="s">
        <v>1050</v>
      </c>
      <c r="F189" t="s">
        <v>429</v>
      </c>
    </row>
    <row r="190" spans="1:6" x14ac:dyDescent="0.25">
      <c r="A190" t="s">
        <v>189</v>
      </c>
      <c r="C190" t="s">
        <v>1051</v>
      </c>
      <c r="F190" t="s">
        <v>430</v>
      </c>
    </row>
    <row r="191" spans="1:6" x14ac:dyDescent="0.25">
      <c r="A191" t="s">
        <v>190</v>
      </c>
      <c r="C191" t="s">
        <v>1052</v>
      </c>
      <c r="F191" t="s">
        <v>431</v>
      </c>
    </row>
    <row r="192" spans="1:6" x14ac:dyDescent="0.25">
      <c r="A192" t="s">
        <v>191</v>
      </c>
      <c r="C192" t="s">
        <v>1053</v>
      </c>
      <c r="F192" t="s">
        <v>432</v>
      </c>
    </row>
    <row r="193" spans="1:6" x14ac:dyDescent="0.25">
      <c r="A193" t="s">
        <v>192</v>
      </c>
      <c r="C193" t="s">
        <v>1054</v>
      </c>
      <c r="F193" t="s">
        <v>433</v>
      </c>
    </row>
    <row r="194" spans="1:6" x14ac:dyDescent="0.25">
      <c r="A194" t="s">
        <v>193</v>
      </c>
      <c r="C194" t="s">
        <v>1055</v>
      </c>
      <c r="F194" t="s">
        <v>434</v>
      </c>
    </row>
    <row r="195" spans="1:6" x14ac:dyDescent="0.25">
      <c r="A195" t="s">
        <v>194</v>
      </c>
      <c r="C195" t="s">
        <v>1056</v>
      </c>
      <c r="F195" t="s">
        <v>435</v>
      </c>
    </row>
    <row r="196" spans="1:6" x14ac:dyDescent="0.25">
      <c r="A196" t="s">
        <v>195</v>
      </c>
      <c r="C196" t="s">
        <v>1057</v>
      </c>
      <c r="F196" t="s">
        <v>436</v>
      </c>
    </row>
    <row r="197" spans="1:6" x14ac:dyDescent="0.25">
      <c r="A197" t="s">
        <v>196</v>
      </c>
      <c r="C197" t="s">
        <v>1058</v>
      </c>
      <c r="F197" t="s">
        <v>437</v>
      </c>
    </row>
    <row r="198" spans="1:6" x14ac:dyDescent="0.25">
      <c r="A198" t="s">
        <v>197</v>
      </c>
      <c r="C198" t="s">
        <v>1059</v>
      </c>
      <c r="F198" t="s">
        <v>438</v>
      </c>
    </row>
    <row r="199" spans="1:6" x14ac:dyDescent="0.25">
      <c r="A199" t="s">
        <v>198</v>
      </c>
      <c r="C199" t="s">
        <v>1060</v>
      </c>
      <c r="F199" t="s">
        <v>439</v>
      </c>
    </row>
    <row r="200" spans="1:6" x14ac:dyDescent="0.25">
      <c r="A200" t="s">
        <v>199</v>
      </c>
      <c r="C200" t="s">
        <v>1061</v>
      </c>
      <c r="F200" t="s">
        <v>440</v>
      </c>
    </row>
    <row r="201" spans="1:6" x14ac:dyDescent="0.25">
      <c r="A201" t="s">
        <v>200</v>
      </c>
      <c r="C201" t="s">
        <v>1062</v>
      </c>
      <c r="F201" t="s">
        <v>441</v>
      </c>
    </row>
    <row r="202" spans="1:6" x14ac:dyDescent="0.25">
      <c r="A202" t="s">
        <v>201</v>
      </c>
      <c r="C202" t="s">
        <v>1063</v>
      </c>
      <c r="F202" t="s">
        <v>442</v>
      </c>
    </row>
    <row r="203" spans="1:6" x14ac:dyDescent="0.25">
      <c r="A203" t="s">
        <v>202</v>
      </c>
      <c r="C203" t="s">
        <v>1064</v>
      </c>
      <c r="F203" t="s">
        <v>443</v>
      </c>
    </row>
    <row r="204" spans="1:6" x14ac:dyDescent="0.25">
      <c r="A204" t="s">
        <v>203</v>
      </c>
      <c r="C204" t="s">
        <v>1065</v>
      </c>
      <c r="F204" t="s">
        <v>444</v>
      </c>
    </row>
    <row r="205" spans="1:6" x14ac:dyDescent="0.25">
      <c r="A205" t="s">
        <v>204</v>
      </c>
      <c r="C205" t="s">
        <v>1066</v>
      </c>
      <c r="F205" t="s">
        <v>445</v>
      </c>
    </row>
    <row r="206" spans="1:6" x14ac:dyDescent="0.25">
      <c r="A206" t="s">
        <v>205</v>
      </c>
      <c r="C206" t="s">
        <v>1067</v>
      </c>
      <c r="F206" t="s">
        <v>446</v>
      </c>
    </row>
    <row r="207" spans="1:6" x14ac:dyDescent="0.25">
      <c r="A207" t="s">
        <v>206</v>
      </c>
      <c r="C207" t="s">
        <v>1068</v>
      </c>
      <c r="F207" t="s">
        <v>447</v>
      </c>
    </row>
    <row r="208" spans="1:6" x14ac:dyDescent="0.25">
      <c r="A208" t="s">
        <v>207</v>
      </c>
      <c r="C208" t="s">
        <v>1069</v>
      </c>
      <c r="F208" t="s">
        <v>448</v>
      </c>
    </row>
    <row r="209" spans="1:6" x14ac:dyDescent="0.25">
      <c r="A209" t="s">
        <v>208</v>
      </c>
      <c r="C209" t="s">
        <v>1070</v>
      </c>
      <c r="F209" t="s">
        <v>449</v>
      </c>
    </row>
    <row r="210" spans="1:6" x14ac:dyDescent="0.25">
      <c r="A210" t="s">
        <v>209</v>
      </c>
      <c r="C210" t="s">
        <v>1071</v>
      </c>
      <c r="F210" t="s">
        <v>450</v>
      </c>
    </row>
    <row r="211" spans="1:6" x14ac:dyDescent="0.25">
      <c r="A211" t="s">
        <v>210</v>
      </c>
      <c r="C211" t="s">
        <v>1072</v>
      </c>
      <c r="F211" t="s">
        <v>451</v>
      </c>
    </row>
    <row r="212" spans="1:6" x14ac:dyDescent="0.25">
      <c r="A212" t="s">
        <v>211</v>
      </c>
      <c r="C212" t="s">
        <v>1073</v>
      </c>
      <c r="F212" t="s">
        <v>452</v>
      </c>
    </row>
    <row r="213" spans="1:6" x14ac:dyDescent="0.25">
      <c r="A213" t="s">
        <v>212</v>
      </c>
      <c r="C213" t="s">
        <v>1074</v>
      </c>
      <c r="F213" t="s">
        <v>453</v>
      </c>
    </row>
    <row r="214" spans="1:6" x14ac:dyDescent="0.25">
      <c r="A214" t="s">
        <v>213</v>
      </c>
      <c r="C214" t="s">
        <v>1075</v>
      </c>
      <c r="F214" t="s">
        <v>454</v>
      </c>
    </row>
    <row r="215" spans="1:6" x14ac:dyDescent="0.25">
      <c r="A215" t="s">
        <v>214</v>
      </c>
      <c r="C215" t="s">
        <v>1076</v>
      </c>
      <c r="F215" t="s">
        <v>455</v>
      </c>
    </row>
    <row r="216" spans="1:6" x14ac:dyDescent="0.25">
      <c r="A216" t="s">
        <v>215</v>
      </c>
      <c r="C216" t="s">
        <v>1077</v>
      </c>
      <c r="F216" t="s">
        <v>456</v>
      </c>
    </row>
    <row r="217" spans="1:6" x14ac:dyDescent="0.25">
      <c r="A217" t="s">
        <v>216</v>
      </c>
      <c r="C217" t="s">
        <v>1078</v>
      </c>
      <c r="F217" t="s">
        <v>457</v>
      </c>
    </row>
    <row r="218" spans="1:6" x14ac:dyDescent="0.25">
      <c r="A218" t="s">
        <v>217</v>
      </c>
      <c r="C218" t="s">
        <v>1079</v>
      </c>
      <c r="F218" t="s">
        <v>458</v>
      </c>
    </row>
    <row r="219" spans="1:6" x14ac:dyDescent="0.25">
      <c r="A219" t="s">
        <v>218</v>
      </c>
      <c r="C219" t="s">
        <v>1080</v>
      </c>
      <c r="F219" t="s">
        <v>459</v>
      </c>
    </row>
    <row r="220" spans="1:6" x14ac:dyDescent="0.25">
      <c r="A220" t="s">
        <v>219</v>
      </c>
      <c r="C220" t="s">
        <v>1081</v>
      </c>
      <c r="F220" t="s">
        <v>460</v>
      </c>
    </row>
    <row r="221" spans="1:6" x14ac:dyDescent="0.25">
      <c r="A221" t="s">
        <v>220</v>
      </c>
      <c r="C221" t="s">
        <v>1082</v>
      </c>
      <c r="F221" t="s">
        <v>461</v>
      </c>
    </row>
    <row r="222" spans="1:6" x14ac:dyDescent="0.25">
      <c r="A222" t="s">
        <v>221</v>
      </c>
      <c r="C222" t="s">
        <v>1083</v>
      </c>
      <c r="F222" t="s">
        <v>462</v>
      </c>
    </row>
    <row r="223" spans="1:6" x14ac:dyDescent="0.25">
      <c r="A223" t="s">
        <v>222</v>
      </c>
      <c r="C223" t="s">
        <v>1084</v>
      </c>
      <c r="F223" t="s">
        <v>463</v>
      </c>
    </row>
    <row r="224" spans="1:6" x14ac:dyDescent="0.25">
      <c r="A224" t="s">
        <v>223</v>
      </c>
      <c r="C224" t="s">
        <v>1085</v>
      </c>
      <c r="F224" t="s">
        <v>464</v>
      </c>
    </row>
    <row r="225" spans="1:6" x14ac:dyDescent="0.25">
      <c r="A225" t="s">
        <v>224</v>
      </c>
      <c r="C225" t="s">
        <v>1086</v>
      </c>
      <c r="F225" t="s">
        <v>465</v>
      </c>
    </row>
    <row r="226" spans="1:6" x14ac:dyDescent="0.25">
      <c r="A226" t="s">
        <v>225</v>
      </c>
      <c r="C226" t="s">
        <v>1087</v>
      </c>
      <c r="F226" t="s">
        <v>466</v>
      </c>
    </row>
    <row r="227" spans="1:6" x14ac:dyDescent="0.25">
      <c r="A227" t="s">
        <v>226</v>
      </c>
      <c r="C227" t="s">
        <v>1088</v>
      </c>
      <c r="F227" t="s">
        <v>467</v>
      </c>
    </row>
    <row r="228" spans="1:6" x14ac:dyDescent="0.25">
      <c r="A228" t="s">
        <v>227</v>
      </c>
      <c r="C228" t="s">
        <v>1089</v>
      </c>
      <c r="F228" t="s">
        <v>468</v>
      </c>
    </row>
    <row r="229" spans="1:6" x14ac:dyDescent="0.25">
      <c r="A229" t="s">
        <v>228</v>
      </c>
      <c r="C229" t="s">
        <v>1090</v>
      </c>
      <c r="F229" t="s">
        <v>469</v>
      </c>
    </row>
    <row r="230" spans="1:6" x14ac:dyDescent="0.25">
      <c r="A230" t="s">
        <v>229</v>
      </c>
      <c r="C230" t="s">
        <v>1091</v>
      </c>
      <c r="F230" t="s">
        <v>470</v>
      </c>
    </row>
    <row r="231" spans="1:6" x14ac:dyDescent="0.25">
      <c r="A231" t="s">
        <v>230</v>
      </c>
      <c r="C231" t="s">
        <v>1092</v>
      </c>
      <c r="F231" t="s">
        <v>471</v>
      </c>
    </row>
    <row r="232" spans="1:6" x14ac:dyDescent="0.25">
      <c r="A232" t="s">
        <v>231</v>
      </c>
      <c r="C232" t="s">
        <v>1093</v>
      </c>
      <c r="F232" t="s">
        <v>472</v>
      </c>
    </row>
    <row r="233" spans="1:6" x14ac:dyDescent="0.25">
      <c r="A233" t="s">
        <v>232</v>
      </c>
      <c r="C233" t="s">
        <v>1094</v>
      </c>
      <c r="F233" t="s">
        <v>473</v>
      </c>
    </row>
    <row r="234" spans="1:6" x14ac:dyDescent="0.25">
      <c r="A234" t="s">
        <v>233</v>
      </c>
      <c r="C234" t="s">
        <v>1095</v>
      </c>
      <c r="F234" t="s">
        <v>474</v>
      </c>
    </row>
    <row r="235" spans="1:6" x14ac:dyDescent="0.25">
      <c r="A235" t="s">
        <v>234</v>
      </c>
      <c r="C235" t="s">
        <v>1096</v>
      </c>
      <c r="F235" t="s">
        <v>475</v>
      </c>
    </row>
    <row r="236" spans="1:6" x14ac:dyDescent="0.25">
      <c r="A236" t="s">
        <v>235</v>
      </c>
      <c r="C236" t="s">
        <v>1097</v>
      </c>
      <c r="F236" t="s">
        <v>476</v>
      </c>
    </row>
    <row r="237" spans="1:6" x14ac:dyDescent="0.25">
      <c r="A237" t="s">
        <v>236</v>
      </c>
      <c r="C237" t="s">
        <v>1098</v>
      </c>
      <c r="F237" t="s">
        <v>477</v>
      </c>
    </row>
    <row r="238" spans="1:6" x14ac:dyDescent="0.25">
      <c r="A238" t="s">
        <v>237</v>
      </c>
      <c r="C238" t="s">
        <v>1099</v>
      </c>
      <c r="F238" t="s">
        <v>478</v>
      </c>
    </row>
    <row r="239" spans="1:6" x14ac:dyDescent="0.25">
      <c r="A239" t="s">
        <v>238</v>
      </c>
      <c r="C239" t="s">
        <v>1100</v>
      </c>
      <c r="F239" t="s">
        <v>479</v>
      </c>
    </row>
    <row r="240" spans="1:6" x14ac:dyDescent="0.25">
      <c r="A240" t="s">
        <v>239</v>
      </c>
      <c r="C240" t="s">
        <v>1101</v>
      </c>
      <c r="F240" t="s">
        <v>480</v>
      </c>
    </row>
    <row r="241" spans="1:6" x14ac:dyDescent="0.25">
      <c r="A241" t="s">
        <v>240</v>
      </c>
      <c r="C241" t="s">
        <v>1102</v>
      </c>
      <c r="F241" t="s">
        <v>481</v>
      </c>
    </row>
    <row r="242" spans="1:6" x14ac:dyDescent="0.25">
      <c r="A242" t="s">
        <v>241</v>
      </c>
      <c r="C242" t="s">
        <v>1103</v>
      </c>
      <c r="F242" t="s">
        <v>482</v>
      </c>
    </row>
    <row r="243" spans="1:6" x14ac:dyDescent="0.25">
      <c r="A243" t="s">
        <v>242</v>
      </c>
      <c r="C243" t="s">
        <v>1104</v>
      </c>
      <c r="F243" t="s">
        <v>483</v>
      </c>
    </row>
    <row r="244" spans="1:6" x14ac:dyDescent="0.25">
      <c r="A244" t="s">
        <v>1166</v>
      </c>
      <c r="C244" t="s">
        <v>1105</v>
      </c>
      <c r="F244" t="s">
        <v>484</v>
      </c>
    </row>
    <row r="245" spans="1:6" x14ac:dyDescent="0.25">
      <c r="A245" t="s">
        <v>3634</v>
      </c>
      <c r="C245" t="s">
        <v>1106</v>
      </c>
      <c r="F245" t="s">
        <v>485</v>
      </c>
    </row>
    <row r="246" spans="1:6" x14ac:dyDescent="0.25">
      <c r="A246" t="s">
        <v>3635</v>
      </c>
      <c r="C246" t="s">
        <v>1107</v>
      </c>
      <c r="F246" t="s">
        <v>486</v>
      </c>
    </row>
    <row r="247" spans="1:6" x14ac:dyDescent="0.25">
      <c r="A247" t="s">
        <v>9</v>
      </c>
      <c r="C247" t="s">
        <v>1108</v>
      </c>
      <c r="F247" t="s">
        <v>487</v>
      </c>
    </row>
    <row r="248" spans="1:6" x14ac:dyDescent="0.25">
      <c r="A248" t="s">
        <v>3636</v>
      </c>
      <c r="C248" t="s">
        <v>1109</v>
      </c>
      <c r="F248" t="s">
        <v>488</v>
      </c>
    </row>
    <row r="249" spans="1:6" x14ac:dyDescent="0.25">
      <c r="A249" t="s">
        <v>1286</v>
      </c>
      <c r="C249" t="s">
        <v>1110</v>
      </c>
      <c r="F249" t="s">
        <v>489</v>
      </c>
    </row>
    <row r="250" spans="1:6" x14ac:dyDescent="0.25">
      <c r="A250" t="s">
        <v>3637</v>
      </c>
      <c r="C250" t="s">
        <v>1111</v>
      </c>
      <c r="F250" t="s">
        <v>490</v>
      </c>
    </row>
    <row r="251" spans="1:6" x14ac:dyDescent="0.25">
      <c r="A251" t="s">
        <v>3638</v>
      </c>
      <c r="C251" t="s">
        <v>1112</v>
      </c>
      <c r="F251" t="s">
        <v>491</v>
      </c>
    </row>
    <row r="252" spans="1:6" x14ac:dyDescent="0.25">
      <c r="A252" t="s">
        <v>2598</v>
      </c>
      <c r="C252" t="s">
        <v>1113</v>
      </c>
      <c r="F252" t="s">
        <v>492</v>
      </c>
    </row>
    <row r="253" spans="1:6" x14ac:dyDescent="0.25">
      <c r="A253" t="s">
        <v>3639</v>
      </c>
      <c r="C253" t="s">
        <v>1114</v>
      </c>
      <c r="F253" t="s">
        <v>493</v>
      </c>
    </row>
    <row r="254" spans="1:6" x14ac:dyDescent="0.25">
      <c r="A254" t="s">
        <v>3640</v>
      </c>
      <c r="C254" t="s">
        <v>1115</v>
      </c>
      <c r="F254" t="s">
        <v>494</v>
      </c>
    </row>
    <row r="255" spans="1:6" x14ac:dyDescent="0.25">
      <c r="A255" t="s">
        <v>3641</v>
      </c>
      <c r="C255" t="s">
        <v>1116</v>
      </c>
      <c r="F255" t="s">
        <v>495</v>
      </c>
    </row>
    <row r="256" spans="1:6" x14ac:dyDescent="0.25">
      <c r="A256" t="s">
        <v>1087</v>
      </c>
      <c r="C256" t="s">
        <v>1117</v>
      </c>
      <c r="F256" t="s">
        <v>496</v>
      </c>
    </row>
    <row r="257" spans="1:6" x14ac:dyDescent="0.25">
      <c r="A257" t="s">
        <v>3642</v>
      </c>
      <c r="C257" t="s">
        <v>1118</v>
      </c>
      <c r="F257" t="s">
        <v>497</v>
      </c>
    </row>
    <row r="258" spans="1:6" x14ac:dyDescent="0.25">
      <c r="A258" t="s">
        <v>3643</v>
      </c>
      <c r="C258" t="s">
        <v>2838</v>
      </c>
      <c r="F258" t="s">
        <v>498</v>
      </c>
    </row>
    <row r="259" spans="1:6" x14ac:dyDescent="0.25">
      <c r="A259" t="s">
        <v>2064</v>
      </c>
      <c r="C259" t="s">
        <v>2839</v>
      </c>
      <c r="F259" t="s">
        <v>499</v>
      </c>
    </row>
    <row r="260" spans="1:6" x14ac:dyDescent="0.25">
      <c r="A260" t="s">
        <v>2039</v>
      </c>
      <c r="C260" t="s">
        <v>2840</v>
      </c>
      <c r="F260" t="s">
        <v>500</v>
      </c>
    </row>
    <row r="261" spans="1:6" x14ac:dyDescent="0.25">
      <c r="A261" t="s">
        <v>3644</v>
      </c>
      <c r="C261" t="s">
        <v>2841</v>
      </c>
      <c r="F261" t="s">
        <v>501</v>
      </c>
    </row>
    <row r="262" spans="1:6" x14ac:dyDescent="0.25">
      <c r="A262" t="s">
        <v>3645</v>
      </c>
      <c r="C262" t="s">
        <v>2842</v>
      </c>
      <c r="F262" t="s">
        <v>502</v>
      </c>
    </row>
    <row r="263" spans="1:6" x14ac:dyDescent="0.25">
      <c r="A263" t="s">
        <v>3646</v>
      </c>
      <c r="C263" t="s">
        <v>2147</v>
      </c>
      <c r="F263" t="s">
        <v>503</v>
      </c>
    </row>
    <row r="264" spans="1:6" x14ac:dyDescent="0.25">
      <c r="A264" t="s">
        <v>2157</v>
      </c>
      <c r="C264" t="s">
        <v>2843</v>
      </c>
      <c r="F264" t="s">
        <v>504</v>
      </c>
    </row>
    <row r="265" spans="1:6" x14ac:dyDescent="0.25">
      <c r="A265" t="s">
        <v>230</v>
      </c>
      <c r="C265" t="s">
        <v>2844</v>
      </c>
      <c r="F265" t="s">
        <v>505</v>
      </c>
    </row>
    <row r="266" spans="1:6" x14ac:dyDescent="0.25">
      <c r="A266" t="s">
        <v>3647</v>
      </c>
      <c r="C266" t="s">
        <v>2845</v>
      </c>
      <c r="F266" t="s">
        <v>506</v>
      </c>
    </row>
    <row r="267" spans="1:6" x14ac:dyDescent="0.25">
      <c r="A267" t="s">
        <v>3648</v>
      </c>
      <c r="C267" t="s">
        <v>2846</v>
      </c>
      <c r="F267" t="s">
        <v>507</v>
      </c>
    </row>
    <row r="268" spans="1:6" x14ac:dyDescent="0.25">
      <c r="A268" t="s">
        <v>182</v>
      </c>
      <c r="C268" t="s">
        <v>2847</v>
      </c>
      <c r="F268" t="s">
        <v>508</v>
      </c>
    </row>
    <row r="269" spans="1:6" x14ac:dyDescent="0.25">
      <c r="A269" t="s">
        <v>3649</v>
      </c>
      <c r="C269" t="s">
        <v>2848</v>
      </c>
      <c r="F269" t="s">
        <v>509</v>
      </c>
    </row>
    <row r="270" spans="1:6" x14ac:dyDescent="0.25">
      <c r="A270" t="s">
        <v>55</v>
      </c>
      <c r="C270" t="s">
        <v>2849</v>
      </c>
      <c r="F270" t="s">
        <v>510</v>
      </c>
    </row>
    <row r="271" spans="1:6" x14ac:dyDescent="0.25">
      <c r="A271" t="s">
        <v>3650</v>
      </c>
      <c r="C271" t="s">
        <v>2850</v>
      </c>
      <c r="F271" t="s">
        <v>511</v>
      </c>
    </row>
    <row r="272" spans="1:6" x14ac:dyDescent="0.25">
      <c r="A272" t="s">
        <v>145</v>
      </c>
      <c r="C272" t="s">
        <v>916</v>
      </c>
      <c r="F272" t="s">
        <v>512</v>
      </c>
    </row>
    <row r="273" spans="1:6" x14ac:dyDescent="0.25">
      <c r="A273" t="s">
        <v>3651</v>
      </c>
      <c r="C273" t="s">
        <v>2851</v>
      </c>
      <c r="F273" t="s">
        <v>513</v>
      </c>
    </row>
    <row r="274" spans="1:6" x14ac:dyDescent="0.25">
      <c r="A274" t="s">
        <v>3652</v>
      </c>
      <c r="C274" t="s">
        <v>2852</v>
      </c>
      <c r="F274" t="s">
        <v>514</v>
      </c>
    </row>
    <row r="275" spans="1:6" x14ac:dyDescent="0.25">
      <c r="A275" t="s">
        <v>3653</v>
      </c>
      <c r="C275" t="s">
        <v>2853</v>
      </c>
      <c r="F275" t="s">
        <v>515</v>
      </c>
    </row>
    <row r="276" spans="1:6" x14ac:dyDescent="0.25">
      <c r="A276" t="s">
        <v>3654</v>
      </c>
      <c r="C276" t="s">
        <v>2854</v>
      </c>
      <c r="F276" t="s">
        <v>516</v>
      </c>
    </row>
    <row r="277" spans="1:6" x14ac:dyDescent="0.25">
      <c r="A277" t="s">
        <v>3655</v>
      </c>
      <c r="C277" t="s">
        <v>2855</v>
      </c>
      <c r="F277" t="s">
        <v>517</v>
      </c>
    </row>
    <row r="278" spans="1:6" x14ac:dyDescent="0.25">
      <c r="A278" t="s">
        <v>259</v>
      </c>
      <c r="C278" t="s">
        <v>2856</v>
      </c>
      <c r="F278" t="s">
        <v>518</v>
      </c>
    </row>
    <row r="279" spans="1:6" x14ac:dyDescent="0.25">
      <c r="A279" t="s">
        <v>3656</v>
      </c>
      <c r="C279" t="s">
        <v>2857</v>
      </c>
      <c r="F279" t="s">
        <v>519</v>
      </c>
    </row>
    <row r="280" spans="1:6" x14ac:dyDescent="0.25">
      <c r="A280" t="s">
        <v>284</v>
      </c>
      <c r="C280" t="s">
        <v>2858</v>
      </c>
      <c r="F280" t="s">
        <v>520</v>
      </c>
    </row>
    <row r="281" spans="1:6" x14ac:dyDescent="0.25">
      <c r="A281" t="s">
        <v>2447</v>
      </c>
      <c r="C281" t="s">
        <v>2859</v>
      </c>
      <c r="F281" t="s">
        <v>521</v>
      </c>
    </row>
    <row r="282" spans="1:6" x14ac:dyDescent="0.25">
      <c r="A282" t="s">
        <v>167</v>
      </c>
      <c r="C282" t="s">
        <v>2860</v>
      </c>
      <c r="F282" t="s">
        <v>522</v>
      </c>
    </row>
    <row r="283" spans="1:6" x14ac:dyDescent="0.25">
      <c r="A283" t="s">
        <v>3657</v>
      </c>
      <c r="C283" t="s">
        <v>2861</v>
      </c>
      <c r="F283" t="s">
        <v>523</v>
      </c>
    </row>
    <row r="284" spans="1:6" x14ac:dyDescent="0.25">
      <c r="A284" t="s">
        <v>303</v>
      </c>
      <c r="C284" t="s">
        <v>2862</v>
      </c>
      <c r="F284" t="s">
        <v>524</v>
      </c>
    </row>
    <row r="285" spans="1:6" x14ac:dyDescent="0.25">
      <c r="A285" t="s">
        <v>3658</v>
      </c>
      <c r="C285" t="s">
        <v>2863</v>
      </c>
      <c r="F285" t="s">
        <v>525</v>
      </c>
    </row>
    <row r="286" spans="1:6" x14ac:dyDescent="0.25">
      <c r="A286" t="s">
        <v>875</v>
      </c>
      <c r="C286" t="s">
        <v>2864</v>
      </c>
      <c r="F286" t="s">
        <v>526</v>
      </c>
    </row>
    <row r="287" spans="1:6" x14ac:dyDescent="0.25">
      <c r="A287" t="s">
        <v>530</v>
      </c>
      <c r="C287" t="s">
        <v>2865</v>
      </c>
      <c r="F287" t="s">
        <v>527</v>
      </c>
    </row>
    <row r="288" spans="1:6" x14ac:dyDescent="0.25">
      <c r="A288" t="s">
        <v>3659</v>
      </c>
      <c r="C288" t="s">
        <v>2866</v>
      </c>
      <c r="F288" t="s">
        <v>528</v>
      </c>
    </row>
    <row r="289" spans="1:6" x14ac:dyDescent="0.25">
      <c r="A289" t="s">
        <v>3660</v>
      </c>
      <c r="C289" t="s">
        <v>2867</v>
      </c>
      <c r="F289" t="s">
        <v>529</v>
      </c>
    </row>
    <row r="290" spans="1:6" x14ac:dyDescent="0.25">
      <c r="A290" t="s">
        <v>225</v>
      </c>
      <c r="C290" t="s">
        <v>2868</v>
      </c>
      <c r="F290" t="s">
        <v>530</v>
      </c>
    </row>
    <row r="291" spans="1:6" x14ac:dyDescent="0.25">
      <c r="A291" t="s">
        <v>105</v>
      </c>
      <c r="C291" t="s">
        <v>2869</v>
      </c>
      <c r="F291" t="s">
        <v>531</v>
      </c>
    </row>
    <row r="292" spans="1:6" x14ac:dyDescent="0.25">
      <c r="A292" t="s">
        <v>1969</v>
      </c>
      <c r="C292" t="s">
        <v>2870</v>
      </c>
      <c r="F292" t="s">
        <v>532</v>
      </c>
    </row>
    <row r="293" spans="1:6" x14ac:dyDescent="0.25">
      <c r="A293" t="s">
        <v>1251</v>
      </c>
      <c r="C293" t="s">
        <v>2871</v>
      </c>
      <c r="F293" t="s">
        <v>533</v>
      </c>
    </row>
    <row r="294" spans="1:6" x14ac:dyDescent="0.25">
      <c r="A294" t="s">
        <v>1334</v>
      </c>
      <c r="C294" t="s">
        <v>2872</v>
      </c>
      <c r="F294" t="s">
        <v>534</v>
      </c>
    </row>
    <row r="295" spans="1:6" x14ac:dyDescent="0.25">
      <c r="A295" t="s">
        <v>3661</v>
      </c>
      <c r="C295" t="s">
        <v>2873</v>
      </c>
      <c r="F295" t="s">
        <v>49</v>
      </c>
    </row>
    <row r="296" spans="1:6" x14ac:dyDescent="0.25">
      <c r="A296" t="s">
        <v>3662</v>
      </c>
      <c r="C296" t="s">
        <v>2874</v>
      </c>
      <c r="F296" t="s">
        <v>535</v>
      </c>
    </row>
    <row r="297" spans="1:6" x14ac:dyDescent="0.25">
      <c r="A297" t="s">
        <v>1122</v>
      </c>
      <c r="C297" t="s">
        <v>2875</v>
      </c>
      <c r="F297" t="s">
        <v>12</v>
      </c>
    </row>
    <row r="298" spans="1:6" x14ac:dyDescent="0.25">
      <c r="A298" t="s">
        <v>3663</v>
      </c>
      <c r="C298" t="s">
        <v>2876</v>
      </c>
      <c r="F298" t="s">
        <v>536</v>
      </c>
    </row>
    <row r="299" spans="1:6" x14ac:dyDescent="0.25">
      <c r="A299" t="s">
        <v>3664</v>
      </c>
      <c r="C299" t="s">
        <v>2877</v>
      </c>
      <c r="F299" t="s">
        <v>537</v>
      </c>
    </row>
    <row r="300" spans="1:6" x14ac:dyDescent="0.25">
      <c r="A300" t="s">
        <v>936</v>
      </c>
      <c r="C300" t="s">
        <v>2878</v>
      </c>
      <c r="F300" t="s">
        <v>538</v>
      </c>
    </row>
    <row r="301" spans="1:6" x14ac:dyDescent="0.25">
      <c r="A301" t="s">
        <v>3665</v>
      </c>
      <c r="C301" t="s">
        <v>2879</v>
      </c>
      <c r="F301" t="s">
        <v>539</v>
      </c>
    </row>
    <row r="302" spans="1:6" x14ac:dyDescent="0.25">
      <c r="A302" t="s">
        <v>21</v>
      </c>
      <c r="C302" t="s">
        <v>2880</v>
      </c>
      <c r="F302" t="s">
        <v>540</v>
      </c>
    </row>
    <row r="303" spans="1:6" x14ac:dyDescent="0.25">
      <c r="A303" t="s">
        <v>3666</v>
      </c>
      <c r="C303" t="s">
        <v>2881</v>
      </c>
      <c r="F303" t="s">
        <v>541</v>
      </c>
    </row>
    <row r="304" spans="1:6" x14ac:dyDescent="0.25">
      <c r="A304" t="s">
        <v>3667</v>
      </c>
      <c r="C304" t="s">
        <v>2882</v>
      </c>
      <c r="F304" t="s">
        <v>542</v>
      </c>
    </row>
    <row r="305" spans="1:6" x14ac:dyDescent="0.25">
      <c r="A305" t="s">
        <v>3668</v>
      </c>
      <c r="C305" t="s">
        <v>2883</v>
      </c>
      <c r="F305" t="s">
        <v>543</v>
      </c>
    </row>
    <row r="306" spans="1:6" x14ac:dyDescent="0.25">
      <c r="A306" t="s">
        <v>3669</v>
      </c>
      <c r="C306" t="s">
        <v>2884</v>
      </c>
      <c r="F306" t="s">
        <v>544</v>
      </c>
    </row>
    <row r="307" spans="1:6" x14ac:dyDescent="0.25">
      <c r="A307" t="s">
        <v>2207</v>
      </c>
      <c r="C307" t="s">
        <v>2885</v>
      </c>
      <c r="F307" t="s">
        <v>545</v>
      </c>
    </row>
    <row r="308" spans="1:6" x14ac:dyDescent="0.25">
      <c r="A308" t="s">
        <v>3670</v>
      </c>
      <c r="C308" t="s">
        <v>2886</v>
      </c>
      <c r="F308" t="s">
        <v>546</v>
      </c>
    </row>
    <row r="309" spans="1:6" x14ac:dyDescent="0.25">
      <c r="A309" t="s">
        <v>834</v>
      </c>
      <c r="C309" t="s">
        <v>2887</v>
      </c>
      <c r="F309" t="s">
        <v>547</v>
      </c>
    </row>
    <row r="310" spans="1:6" x14ac:dyDescent="0.25">
      <c r="A310" t="s">
        <v>2050</v>
      </c>
      <c r="C310" t="s">
        <v>2888</v>
      </c>
      <c r="F310" t="s">
        <v>548</v>
      </c>
    </row>
    <row r="311" spans="1:6" x14ac:dyDescent="0.25">
      <c r="A311" t="s">
        <v>3671</v>
      </c>
      <c r="C311" t="s">
        <v>1056</v>
      </c>
      <c r="F311" t="s">
        <v>549</v>
      </c>
    </row>
    <row r="312" spans="1:6" x14ac:dyDescent="0.25">
      <c r="A312" t="s">
        <v>3672</v>
      </c>
      <c r="C312" t="s">
        <v>2889</v>
      </c>
      <c r="F312" t="s">
        <v>550</v>
      </c>
    </row>
    <row r="313" spans="1:6" x14ac:dyDescent="0.25">
      <c r="A313" t="s">
        <v>241</v>
      </c>
      <c r="C313" t="s">
        <v>2890</v>
      </c>
      <c r="F313" t="s">
        <v>551</v>
      </c>
    </row>
    <row r="314" spans="1:6" x14ac:dyDescent="0.25">
      <c r="A314" t="s">
        <v>580</v>
      </c>
      <c r="C314" t="s">
        <v>2891</v>
      </c>
      <c r="F314" t="s">
        <v>552</v>
      </c>
    </row>
    <row r="315" spans="1:6" x14ac:dyDescent="0.25">
      <c r="A315" t="s">
        <v>2287</v>
      </c>
      <c r="C315" t="s">
        <v>2892</v>
      </c>
      <c r="F315" t="s">
        <v>553</v>
      </c>
    </row>
    <row r="316" spans="1:6" x14ac:dyDescent="0.25">
      <c r="A316" t="s">
        <v>3673</v>
      </c>
      <c r="C316" t="s">
        <v>2893</v>
      </c>
      <c r="F316" t="s">
        <v>554</v>
      </c>
    </row>
    <row r="317" spans="1:6" x14ac:dyDescent="0.25">
      <c r="A317" t="s">
        <v>2032</v>
      </c>
      <c r="C317" t="s">
        <v>2894</v>
      </c>
      <c r="F317" t="s">
        <v>555</v>
      </c>
    </row>
    <row r="318" spans="1:6" x14ac:dyDescent="0.25">
      <c r="A318" t="s">
        <v>3674</v>
      </c>
      <c r="C318" t="s">
        <v>2895</v>
      </c>
      <c r="F318" t="s">
        <v>556</v>
      </c>
    </row>
    <row r="319" spans="1:6" x14ac:dyDescent="0.25">
      <c r="A319" t="s">
        <v>1729</v>
      </c>
      <c r="C319" t="s">
        <v>2896</v>
      </c>
      <c r="F319" t="s">
        <v>557</v>
      </c>
    </row>
    <row r="320" spans="1:6" x14ac:dyDescent="0.25">
      <c r="A320" t="s">
        <v>3675</v>
      </c>
      <c r="C320" t="s">
        <v>2897</v>
      </c>
      <c r="F320" t="s">
        <v>558</v>
      </c>
    </row>
    <row r="321" spans="1:6" x14ac:dyDescent="0.25">
      <c r="A321" t="s">
        <v>3676</v>
      </c>
      <c r="C321" t="s">
        <v>2898</v>
      </c>
      <c r="F321" t="s">
        <v>559</v>
      </c>
    </row>
    <row r="322" spans="1:6" x14ac:dyDescent="0.25">
      <c r="A322" t="s">
        <v>431</v>
      </c>
      <c r="C322" t="s">
        <v>2899</v>
      </c>
      <c r="F322" t="s">
        <v>560</v>
      </c>
    </row>
    <row r="323" spans="1:6" x14ac:dyDescent="0.25">
      <c r="A323" t="s">
        <v>3677</v>
      </c>
      <c r="C323" t="s">
        <v>2900</v>
      </c>
      <c r="F323" t="s">
        <v>561</v>
      </c>
    </row>
    <row r="324" spans="1:6" x14ac:dyDescent="0.25">
      <c r="A324" t="s">
        <v>1021</v>
      </c>
      <c r="C324" t="s">
        <v>2901</v>
      </c>
      <c r="F324" t="s">
        <v>562</v>
      </c>
    </row>
    <row r="325" spans="1:6" x14ac:dyDescent="0.25">
      <c r="A325" t="s">
        <v>3678</v>
      </c>
      <c r="C325" t="s">
        <v>2902</v>
      </c>
      <c r="F325" t="s">
        <v>563</v>
      </c>
    </row>
    <row r="326" spans="1:6" x14ac:dyDescent="0.25">
      <c r="A326" t="s">
        <v>3679</v>
      </c>
      <c r="C326" t="s">
        <v>2903</v>
      </c>
      <c r="F326" t="s">
        <v>564</v>
      </c>
    </row>
    <row r="327" spans="1:6" x14ac:dyDescent="0.25">
      <c r="A327" t="s">
        <v>1137</v>
      </c>
      <c r="C327" t="s">
        <v>2904</v>
      </c>
      <c r="F327" t="s">
        <v>565</v>
      </c>
    </row>
    <row r="328" spans="1:6" x14ac:dyDescent="0.25">
      <c r="A328" t="s">
        <v>3680</v>
      </c>
      <c r="C328" t="s">
        <v>2905</v>
      </c>
      <c r="F328" t="s">
        <v>566</v>
      </c>
    </row>
    <row r="329" spans="1:6" x14ac:dyDescent="0.25">
      <c r="A329" t="s">
        <v>170</v>
      </c>
      <c r="C329" t="s">
        <v>2906</v>
      </c>
      <c r="F329" t="s">
        <v>567</v>
      </c>
    </row>
    <row r="330" spans="1:6" x14ac:dyDescent="0.25">
      <c r="A330" t="s">
        <v>2117</v>
      </c>
      <c r="C330" t="s">
        <v>2907</v>
      </c>
      <c r="F330" t="s">
        <v>568</v>
      </c>
    </row>
    <row r="331" spans="1:6" x14ac:dyDescent="0.25">
      <c r="A331" t="s">
        <v>2570</v>
      </c>
      <c r="C331" t="s">
        <v>2908</v>
      </c>
      <c r="F331" t="s">
        <v>569</v>
      </c>
    </row>
    <row r="332" spans="1:6" x14ac:dyDescent="0.25">
      <c r="A332" t="s">
        <v>3681</v>
      </c>
      <c r="C332" t="s">
        <v>2909</v>
      </c>
      <c r="F332" t="s">
        <v>570</v>
      </c>
    </row>
    <row r="333" spans="1:6" x14ac:dyDescent="0.25">
      <c r="A333" t="s">
        <v>3682</v>
      </c>
      <c r="C333" t="s">
        <v>2910</v>
      </c>
      <c r="F333" t="s">
        <v>571</v>
      </c>
    </row>
    <row r="334" spans="1:6" x14ac:dyDescent="0.25">
      <c r="A334" t="s">
        <v>143</v>
      </c>
      <c r="C334" t="s">
        <v>2911</v>
      </c>
      <c r="F334" t="s">
        <v>572</v>
      </c>
    </row>
    <row r="335" spans="1:6" x14ac:dyDescent="0.25">
      <c r="A335" t="s">
        <v>3683</v>
      </c>
      <c r="C335" t="s">
        <v>2912</v>
      </c>
      <c r="F335" t="s">
        <v>573</v>
      </c>
    </row>
    <row r="336" spans="1:6" x14ac:dyDescent="0.25">
      <c r="A336" t="s">
        <v>3684</v>
      </c>
      <c r="C336" t="s">
        <v>2913</v>
      </c>
      <c r="F336" t="s">
        <v>574</v>
      </c>
    </row>
    <row r="337" spans="1:6" x14ac:dyDescent="0.25">
      <c r="A337" t="s">
        <v>3685</v>
      </c>
      <c r="C337" t="s">
        <v>2914</v>
      </c>
      <c r="F337" t="s">
        <v>575</v>
      </c>
    </row>
    <row r="338" spans="1:6" x14ac:dyDescent="0.25">
      <c r="A338" t="s">
        <v>3686</v>
      </c>
      <c r="C338" t="s">
        <v>2915</v>
      </c>
      <c r="F338" t="s">
        <v>576</v>
      </c>
    </row>
    <row r="339" spans="1:6" x14ac:dyDescent="0.25">
      <c r="A339" t="s">
        <v>3687</v>
      </c>
      <c r="C339" t="s">
        <v>893</v>
      </c>
      <c r="F339" t="s">
        <v>577</v>
      </c>
    </row>
    <row r="340" spans="1:6" x14ac:dyDescent="0.25">
      <c r="A340" t="s">
        <v>3688</v>
      </c>
      <c r="C340" t="s">
        <v>2916</v>
      </c>
      <c r="F340" t="s">
        <v>578</v>
      </c>
    </row>
    <row r="341" spans="1:6" x14ac:dyDescent="0.25">
      <c r="A341" t="s">
        <v>3689</v>
      </c>
      <c r="C341" t="s">
        <v>2917</v>
      </c>
      <c r="F341" t="s">
        <v>579</v>
      </c>
    </row>
    <row r="342" spans="1:6" x14ac:dyDescent="0.25">
      <c r="A342" t="s">
        <v>3690</v>
      </c>
      <c r="C342" t="s">
        <v>2918</v>
      </c>
      <c r="F342" t="s">
        <v>580</v>
      </c>
    </row>
    <row r="343" spans="1:6" x14ac:dyDescent="0.25">
      <c r="A343" t="s">
        <v>73</v>
      </c>
      <c r="C343" t="s">
        <v>986</v>
      </c>
      <c r="F343" t="s">
        <v>581</v>
      </c>
    </row>
    <row r="344" spans="1:6" x14ac:dyDescent="0.25">
      <c r="A344" t="s">
        <v>3691</v>
      </c>
      <c r="C344" t="s">
        <v>2919</v>
      </c>
      <c r="F344" t="s">
        <v>582</v>
      </c>
    </row>
    <row r="345" spans="1:6" x14ac:dyDescent="0.25">
      <c r="A345" t="s">
        <v>2178</v>
      </c>
      <c r="C345" t="s">
        <v>2920</v>
      </c>
      <c r="F345" t="s">
        <v>583</v>
      </c>
    </row>
    <row r="346" spans="1:6" x14ac:dyDescent="0.25">
      <c r="A346" t="s">
        <v>1550</v>
      </c>
      <c r="C346" t="s">
        <v>2921</v>
      </c>
      <c r="F346" t="s">
        <v>584</v>
      </c>
    </row>
    <row r="347" spans="1:6" x14ac:dyDescent="0.25">
      <c r="A347" t="s">
        <v>153</v>
      </c>
      <c r="C347" t="s">
        <v>2922</v>
      </c>
      <c r="F347" t="s">
        <v>585</v>
      </c>
    </row>
    <row r="348" spans="1:6" x14ac:dyDescent="0.25">
      <c r="A348" t="s">
        <v>3692</v>
      </c>
      <c r="C348" t="s">
        <v>2923</v>
      </c>
      <c r="F348" t="s">
        <v>586</v>
      </c>
    </row>
    <row r="349" spans="1:6" x14ac:dyDescent="0.25">
      <c r="A349" t="s">
        <v>3693</v>
      </c>
      <c r="C349" t="s">
        <v>2924</v>
      </c>
      <c r="F349" t="s">
        <v>19</v>
      </c>
    </row>
    <row r="350" spans="1:6" x14ac:dyDescent="0.25">
      <c r="A350" t="s">
        <v>3694</v>
      </c>
      <c r="C350" t="s">
        <v>2925</v>
      </c>
      <c r="F350" t="s">
        <v>587</v>
      </c>
    </row>
    <row r="351" spans="1:6" x14ac:dyDescent="0.25">
      <c r="A351" t="s">
        <v>11</v>
      </c>
      <c r="C351" t="s">
        <v>2926</v>
      </c>
      <c r="F351" t="s">
        <v>588</v>
      </c>
    </row>
    <row r="352" spans="1:6" x14ac:dyDescent="0.25">
      <c r="A352" t="s">
        <v>3695</v>
      </c>
      <c r="C352" t="s">
        <v>2927</v>
      </c>
      <c r="F352" t="s">
        <v>589</v>
      </c>
    </row>
    <row r="353" spans="1:6" x14ac:dyDescent="0.25">
      <c r="A353" t="s">
        <v>944</v>
      </c>
      <c r="C353" t="s">
        <v>2928</v>
      </c>
      <c r="F353" t="s">
        <v>590</v>
      </c>
    </row>
    <row r="354" spans="1:6" x14ac:dyDescent="0.25">
      <c r="A354" t="s">
        <v>3696</v>
      </c>
      <c r="C354" t="s">
        <v>2929</v>
      </c>
      <c r="F354" t="s">
        <v>591</v>
      </c>
    </row>
    <row r="355" spans="1:6" x14ac:dyDescent="0.25">
      <c r="A355" t="s">
        <v>3697</v>
      </c>
      <c r="C355" t="s">
        <v>2930</v>
      </c>
      <c r="F355" t="s">
        <v>592</v>
      </c>
    </row>
    <row r="356" spans="1:6" x14ac:dyDescent="0.25">
      <c r="A356" t="s">
        <v>3698</v>
      </c>
      <c r="C356" t="s">
        <v>2931</v>
      </c>
      <c r="F356" t="s">
        <v>593</v>
      </c>
    </row>
    <row r="357" spans="1:6" x14ac:dyDescent="0.25">
      <c r="A357" t="s">
        <v>3699</v>
      </c>
      <c r="C357" t="s">
        <v>2932</v>
      </c>
      <c r="F357" t="s">
        <v>594</v>
      </c>
    </row>
    <row r="358" spans="1:6" x14ac:dyDescent="0.25">
      <c r="A358" t="s">
        <v>3700</v>
      </c>
      <c r="C358" t="s">
        <v>2933</v>
      </c>
      <c r="F358" t="s">
        <v>595</v>
      </c>
    </row>
    <row r="359" spans="1:6" x14ac:dyDescent="0.25">
      <c r="A359" t="s">
        <v>3701</v>
      </c>
      <c r="C359" t="s">
        <v>2934</v>
      </c>
      <c r="F359" t="s">
        <v>596</v>
      </c>
    </row>
    <row r="360" spans="1:6" x14ac:dyDescent="0.25">
      <c r="A360" t="s">
        <v>1609</v>
      </c>
      <c r="C360" t="s">
        <v>2935</v>
      </c>
      <c r="F360" t="s">
        <v>597</v>
      </c>
    </row>
    <row r="361" spans="1:6" x14ac:dyDescent="0.25">
      <c r="A361" t="s">
        <v>3702</v>
      </c>
      <c r="C361" t="s">
        <v>2936</v>
      </c>
      <c r="F361" t="s">
        <v>598</v>
      </c>
    </row>
    <row r="362" spans="1:6" x14ac:dyDescent="0.25">
      <c r="A362" t="s">
        <v>3703</v>
      </c>
      <c r="C362" t="s">
        <v>2937</v>
      </c>
      <c r="F362" t="s">
        <v>599</v>
      </c>
    </row>
    <row r="363" spans="1:6" x14ac:dyDescent="0.25">
      <c r="A363" t="s">
        <v>3704</v>
      </c>
      <c r="C363" t="s">
        <v>2938</v>
      </c>
      <c r="F363" t="s">
        <v>600</v>
      </c>
    </row>
    <row r="364" spans="1:6" x14ac:dyDescent="0.25">
      <c r="A364" t="s">
        <v>57</v>
      </c>
      <c r="C364" t="s">
        <v>1086</v>
      </c>
      <c r="F364" t="s">
        <v>601</v>
      </c>
    </row>
    <row r="365" spans="1:6" x14ac:dyDescent="0.25">
      <c r="A365" t="s">
        <v>2218</v>
      </c>
      <c r="C365" t="s">
        <v>2939</v>
      </c>
      <c r="F365" t="s">
        <v>602</v>
      </c>
    </row>
    <row r="366" spans="1:6" x14ac:dyDescent="0.25">
      <c r="A366" t="s">
        <v>3705</v>
      </c>
      <c r="C366" t="s">
        <v>2940</v>
      </c>
      <c r="F366" t="s">
        <v>603</v>
      </c>
    </row>
    <row r="367" spans="1:6" x14ac:dyDescent="0.25">
      <c r="A367" t="s">
        <v>3706</v>
      </c>
      <c r="C367" t="s">
        <v>2941</v>
      </c>
      <c r="F367" t="s">
        <v>604</v>
      </c>
    </row>
    <row r="368" spans="1:6" x14ac:dyDescent="0.25">
      <c r="A368" t="s">
        <v>1414</v>
      </c>
      <c r="C368" t="s">
        <v>2942</v>
      </c>
      <c r="F368" t="s">
        <v>605</v>
      </c>
    </row>
    <row r="369" spans="1:6" x14ac:dyDescent="0.25">
      <c r="A369" t="s">
        <v>1420</v>
      </c>
      <c r="C369" t="s">
        <v>2943</v>
      </c>
      <c r="F369" t="s">
        <v>606</v>
      </c>
    </row>
    <row r="370" spans="1:6" x14ac:dyDescent="0.25">
      <c r="A370" t="s">
        <v>1454</v>
      </c>
      <c r="C370" t="s">
        <v>2944</v>
      </c>
      <c r="F370" t="s">
        <v>607</v>
      </c>
    </row>
    <row r="371" spans="1:6" x14ac:dyDescent="0.25">
      <c r="A371" t="s">
        <v>3707</v>
      </c>
      <c r="C371" t="s">
        <v>2945</v>
      </c>
      <c r="F371" t="s">
        <v>608</v>
      </c>
    </row>
    <row r="372" spans="1:6" x14ac:dyDescent="0.25">
      <c r="A372" t="s">
        <v>280</v>
      </c>
      <c r="C372" t="s">
        <v>2946</v>
      </c>
      <c r="F372" t="s">
        <v>609</v>
      </c>
    </row>
    <row r="373" spans="1:6" x14ac:dyDescent="0.25">
      <c r="A373" t="s">
        <v>3708</v>
      </c>
      <c r="C373" t="s">
        <v>2947</v>
      </c>
      <c r="F373" t="s">
        <v>610</v>
      </c>
    </row>
    <row r="374" spans="1:6" x14ac:dyDescent="0.25">
      <c r="A374" t="s">
        <v>3709</v>
      </c>
      <c r="C374" t="s">
        <v>2948</v>
      </c>
      <c r="F374" t="s">
        <v>611</v>
      </c>
    </row>
    <row r="375" spans="1:6" x14ac:dyDescent="0.25">
      <c r="A375" t="s">
        <v>3710</v>
      </c>
      <c r="C375" t="s">
        <v>2949</v>
      </c>
      <c r="F375" t="s">
        <v>612</v>
      </c>
    </row>
    <row r="376" spans="1:6" x14ac:dyDescent="0.25">
      <c r="A376" t="s">
        <v>1735</v>
      </c>
      <c r="C376" t="s">
        <v>2950</v>
      </c>
      <c r="F376" t="s">
        <v>613</v>
      </c>
    </row>
    <row r="377" spans="1:6" x14ac:dyDescent="0.25">
      <c r="A377" t="s">
        <v>2729</v>
      </c>
      <c r="C377" t="s">
        <v>2951</v>
      </c>
      <c r="F377" t="s">
        <v>614</v>
      </c>
    </row>
    <row r="378" spans="1:6" x14ac:dyDescent="0.25">
      <c r="A378" t="s">
        <v>3711</v>
      </c>
      <c r="C378" t="s">
        <v>2952</v>
      </c>
      <c r="F378" t="s">
        <v>615</v>
      </c>
    </row>
    <row r="379" spans="1:6" x14ac:dyDescent="0.25">
      <c r="A379" t="s">
        <v>2567</v>
      </c>
      <c r="C379" t="s">
        <v>2953</v>
      </c>
      <c r="F379" t="s">
        <v>616</v>
      </c>
    </row>
    <row r="380" spans="1:6" x14ac:dyDescent="0.25">
      <c r="A380" t="s">
        <v>3712</v>
      </c>
      <c r="C380" t="s">
        <v>2954</v>
      </c>
      <c r="F380" t="s">
        <v>150</v>
      </c>
    </row>
    <row r="381" spans="1:6" x14ac:dyDescent="0.25">
      <c r="A381" t="s">
        <v>1365</v>
      </c>
      <c r="C381" t="s">
        <v>2955</v>
      </c>
      <c r="F381" t="s">
        <v>617</v>
      </c>
    </row>
    <row r="382" spans="1:6" x14ac:dyDescent="0.25">
      <c r="A382" t="s">
        <v>3713</v>
      </c>
      <c r="C382" t="s">
        <v>2956</v>
      </c>
      <c r="F382" t="s">
        <v>618</v>
      </c>
    </row>
    <row r="383" spans="1:6" x14ac:dyDescent="0.25">
      <c r="A383" t="s">
        <v>3714</v>
      </c>
      <c r="C383" t="s">
        <v>2957</v>
      </c>
      <c r="F383" t="s">
        <v>619</v>
      </c>
    </row>
    <row r="384" spans="1:6" x14ac:dyDescent="0.25">
      <c r="A384" t="s">
        <v>3715</v>
      </c>
      <c r="C384" t="s">
        <v>2958</v>
      </c>
      <c r="F384" t="s">
        <v>620</v>
      </c>
    </row>
    <row r="385" spans="1:6" x14ac:dyDescent="0.25">
      <c r="A385" t="s">
        <v>3716</v>
      </c>
      <c r="C385" t="s">
        <v>2959</v>
      </c>
      <c r="F385" t="s">
        <v>621</v>
      </c>
    </row>
    <row r="386" spans="1:6" x14ac:dyDescent="0.25">
      <c r="A386" t="s">
        <v>3717</v>
      </c>
      <c r="C386" t="s">
        <v>2960</v>
      </c>
      <c r="F386" t="s">
        <v>622</v>
      </c>
    </row>
    <row r="387" spans="1:6" x14ac:dyDescent="0.25">
      <c r="A387" t="s">
        <v>3718</v>
      </c>
      <c r="C387" t="s">
        <v>2961</v>
      </c>
      <c r="F387" t="s">
        <v>623</v>
      </c>
    </row>
    <row r="388" spans="1:6" x14ac:dyDescent="0.25">
      <c r="A388" t="s">
        <v>3719</v>
      </c>
      <c r="C388" t="s">
        <v>2962</v>
      </c>
      <c r="F388" t="s">
        <v>624</v>
      </c>
    </row>
    <row r="389" spans="1:6" x14ac:dyDescent="0.25">
      <c r="A389" t="s">
        <v>3720</v>
      </c>
      <c r="C389" t="s">
        <v>2963</v>
      </c>
      <c r="F389" t="s">
        <v>625</v>
      </c>
    </row>
    <row r="390" spans="1:6" x14ac:dyDescent="0.25">
      <c r="A390" t="s">
        <v>3721</v>
      </c>
      <c r="C390" t="s">
        <v>2964</v>
      </c>
      <c r="F390" t="s">
        <v>626</v>
      </c>
    </row>
    <row r="391" spans="1:6" x14ac:dyDescent="0.25">
      <c r="A391" t="s">
        <v>3722</v>
      </c>
      <c r="C391" t="s">
        <v>2965</v>
      </c>
      <c r="F391" t="s">
        <v>627</v>
      </c>
    </row>
    <row r="392" spans="1:6" x14ac:dyDescent="0.25">
      <c r="A392" t="s">
        <v>3723</v>
      </c>
      <c r="C392" t="s">
        <v>2966</v>
      </c>
      <c r="F392" t="s">
        <v>628</v>
      </c>
    </row>
    <row r="393" spans="1:6" x14ac:dyDescent="0.25">
      <c r="A393" t="s">
        <v>2027</v>
      </c>
      <c r="C393" t="s">
        <v>1846</v>
      </c>
      <c r="F393" t="s">
        <v>629</v>
      </c>
    </row>
    <row r="394" spans="1:6" x14ac:dyDescent="0.25">
      <c r="A394" t="s">
        <v>3724</v>
      </c>
      <c r="C394" t="s">
        <v>2967</v>
      </c>
      <c r="F394" t="s">
        <v>630</v>
      </c>
    </row>
    <row r="395" spans="1:6" x14ac:dyDescent="0.25">
      <c r="A395" t="s">
        <v>3725</v>
      </c>
      <c r="C395" t="s">
        <v>883</v>
      </c>
      <c r="F395" t="s">
        <v>631</v>
      </c>
    </row>
    <row r="396" spans="1:6" x14ac:dyDescent="0.25">
      <c r="A396" t="s">
        <v>649</v>
      </c>
      <c r="C396" t="s">
        <v>2968</v>
      </c>
      <c r="F396" t="s">
        <v>632</v>
      </c>
    </row>
    <row r="397" spans="1:6" x14ac:dyDescent="0.25">
      <c r="A397" t="s">
        <v>3726</v>
      </c>
      <c r="C397" t="s">
        <v>2969</v>
      </c>
      <c r="F397" t="s">
        <v>633</v>
      </c>
    </row>
    <row r="398" spans="1:6" x14ac:dyDescent="0.25">
      <c r="A398" t="s">
        <v>3727</v>
      </c>
      <c r="C398" t="s">
        <v>2970</v>
      </c>
      <c r="F398" t="s">
        <v>634</v>
      </c>
    </row>
    <row r="399" spans="1:6" x14ac:dyDescent="0.25">
      <c r="A399" t="s">
        <v>3728</v>
      </c>
      <c r="C399" t="s">
        <v>2971</v>
      </c>
      <c r="F399" t="s">
        <v>635</v>
      </c>
    </row>
    <row r="400" spans="1:6" x14ac:dyDescent="0.25">
      <c r="A400" t="s">
        <v>177</v>
      </c>
      <c r="C400" t="s">
        <v>2972</v>
      </c>
      <c r="F400" t="s">
        <v>636</v>
      </c>
    </row>
    <row r="401" spans="1:6" x14ac:dyDescent="0.25">
      <c r="A401" t="s">
        <v>1423</v>
      </c>
      <c r="C401" t="s">
        <v>2973</v>
      </c>
      <c r="F401" t="s">
        <v>637</v>
      </c>
    </row>
    <row r="402" spans="1:6" x14ac:dyDescent="0.25">
      <c r="A402" t="s">
        <v>3729</v>
      </c>
      <c r="C402" t="s">
        <v>2974</v>
      </c>
      <c r="F402" t="s">
        <v>638</v>
      </c>
    </row>
    <row r="403" spans="1:6" x14ac:dyDescent="0.25">
      <c r="A403" t="s">
        <v>2514</v>
      </c>
      <c r="C403" t="s">
        <v>2975</v>
      </c>
      <c r="F403" t="s">
        <v>639</v>
      </c>
    </row>
    <row r="404" spans="1:6" x14ac:dyDescent="0.25">
      <c r="A404" t="s">
        <v>26</v>
      </c>
      <c r="C404" t="s">
        <v>2976</v>
      </c>
      <c r="F404" t="s">
        <v>640</v>
      </c>
    </row>
    <row r="405" spans="1:6" x14ac:dyDescent="0.25">
      <c r="A405" t="s">
        <v>3730</v>
      </c>
      <c r="C405" t="s">
        <v>2977</v>
      </c>
      <c r="F405" t="s">
        <v>641</v>
      </c>
    </row>
    <row r="406" spans="1:6" x14ac:dyDescent="0.25">
      <c r="A406" t="s">
        <v>3731</v>
      </c>
      <c r="C406" t="s">
        <v>2978</v>
      </c>
      <c r="F406" t="s">
        <v>642</v>
      </c>
    </row>
    <row r="407" spans="1:6" x14ac:dyDescent="0.25">
      <c r="A407" t="s">
        <v>3732</v>
      </c>
      <c r="C407" t="s">
        <v>2979</v>
      </c>
      <c r="F407" t="s">
        <v>643</v>
      </c>
    </row>
    <row r="408" spans="1:6" x14ac:dyDescent="0.25">
      <c r="A408" t="s">
        <v>3733</v>
      </c>
      <c r="C408" t="s">
        <v>2980</v>
      </c>
      <c r="F408" t="s">
        <v>644</v>
      </c>
    </row>
    <row r="409" spans="1:6" x14ac:dyDescent="0.25">
      <c r="A409" t="s">
        <v>3734</v>
      </c>
      <c r="C409" t="s">
        <v>2981</v>
      </c>
      <c r="F409" t="s">
        <v>645</v>
      </c>
    </row>
    <row r="410" spans="1:6" x14ac:dyDescent="0.25">
      <c r="A410" t="s">
        <v>3735</v>
      </c>
      <c r="C410" t="s">
        <v>2982</v>
      </c>
      <c r="F410" t="s">
        <v>646</v>
      </c>
    </row>
    <row r="411" spans="1:6" x14ac:dyDescent="0.25">
      <c r="A411" t="s">
        <v>3736</v>
      </c>
      <c r="C411" t="s">
        <v>2983</v>
      </c>
      <c r="F411" t="s">
        <v>647</v>
      </c>
    </row>
    <row r="412" spans="1:6" x14ac:dyDescent="0.25">
      <c r="A412" t="s">
        <v>6</v>
      </c>
      <c r="C412" t="s">
        <v>2984</v>
      </c>
      <c r="F412" t="s">
        <v>648</v>
      </c>
    </row>
    <row r="413" spans="1:6" x14ac:dyDescent="0.25">
      <c r="A413" t="s">
        <v>3737</v>
      </c>
      <c r="C413" t="s">
        <v>2985</v>
      </c>
      <c r="F413" t="s">
        <v>649</v>
      </c>
    </row>
    <row r="414" spans="1:6" x14ac:dyDescent="0.25">
      <c r="A414" t="s">
        <v>3738</v>
      </c>
      <c r="C414" t="s">
        <v>2986</v>
      </c>
      <c r="F414" t="s">
        <v>650</v>
      </c>
    </row>
    <row r="415" spans="1:6" x14ac:dyDescent="0.25">
      <c r="A415" t="s">
        <v>3739</v>
      </c>
      <c r="C415" t="s">
        <v>2987</v>
      </c>
      <c r="F415" t="s">
        <v>651</v>
      </c>
    </row>
    <row r="416" spans="1:6" x14ac:dyDescent="0.25">
      <c r="A416" t="s">
        <v>1816</v>
      </c>
      <c r="C416" t="s">
        <v>2988</v>
      </c>
      <c r="F416" t="s">
        <v>652</v>
      </c>
    </row>
    <row r="417" spans="1:6" x14ac:dyDescent="0.25">
      <c r="A417" t="s">
        <v>363</v>
      </c>
      <c r="C417" t="s">
        <v>2989</v>
      </c>
      <c r="F417" t="s">
        <v>653</v>
      </c>
    </row>
    <row r="418" spans="1:6" x14ac:dyDescent="0.25">
      <c r="A418" t="s">
        <v>3740</v>
      </c>
      <c r="C418" t="s">
        <v>2990</v>
      </c>
      <c r="F418" t="s">
        <v>654</v>
      </c>
    </row>
    <row r="419" spans="1:6" x14ac:dyDescent="0.25">
      <c r="A419" t="s">
        <v>3741</v>
      </c>
      <c r="C419" t="s">
        <v>2991</v>
      </c>
      <c r="F419" t="s">
        <v>655</v>
      </c>
    </row>
    <row r="420" spans="1:6" x14ac:dyDescent="0.25">
      <c r="A420" t="s">
        <v>3742</v>
      </c>
      <c r="C420" t="s">
        <v>2992</v>
      </c>
      <c r="F420" t="s">
        <v>656</v>
      </c>
    </row>
    <row r="421" spans="1:6" x14ac:dyDescent="0.25">
      <c r="A421" t="s">
        <v>3743</v>
      </c>
      <c r="C421" t="s">
        <v>2993</v>
      </c>
      <c r="F421" t="s">
        <v>657</v>
      </c>
    </row>
    <row r="422" spans="1:6" x14ac:dyDescent="0.25">
      <c r="A422" t="s">
        <v>3744</v>
      </c>
      <c r="C422" t="s">
        <v>2994</v>
      </c>
      <c r="F422" t="s">
        <v>658</v>
      </c>
    </row>
    <row r="423" spans="1:6" x14ac:dyDescent="0.25">
      <c r="A423" t="s">
        <v>3745</v>
      </c>
      <c r="C423" t="s">
        <v>1035</v>
      </c>
      <c r="F423" t="s">
        <v>659</v>
      </c>
    </row>
    <row r="424" spans="1:6" x14ac:dyDescent="0.25">
      <c r="A424" t="s">
        <v>3746</v>
      </c>
      <c r="C424" t="s">
        <v>2995</v>
      </c>
      <c r="F424" t="s">
        <v>660</v>
      </c>
    </row>
    <row r="425" spans="1:6" x14ac:dyDescent="0.25">
      <c r="A425" t="s">
        <v>3747</v>
      </c>
      <c r="C425" t="s">
        <v>2996</v>
      </c>
      <c r="F425" t="s">
        <v>661</v>
      </c>
    </row>
    <row r="426" spans="1:6" x14ac:dyDescent="0.25">
      <c r="A426" t="s">
        <v>3748</v>
      </c>
      <c r="C426" t="s">
        <v>2997</v>
      </c>
      <c r="F426" t="s">
        <v>662</v>
      </c>
    </row>
    <row r="427" spans="1:6" x14ac:dyDescent="0.25">
      <c r="A427" t="s">
        <v>2431</v>
      </c>
      <c r="C427" t="s">
        <v>2998</v>
      </c>
      <c r="F427" t="s">
        <v>663</v>
      </c>
    </row>
    <row r="428" spans="1:6" x14ac:dyDescent="0.25">
      <c r="A428" t="s">
        <v>3749</v>
      </c>
      <c r="C428" t="s">
        <v>2999</v>
      </c>
      <c r="F428" t="s">
        <v>664</v>
      </c>
    </row>
    <row r="429" spans="1:6" x14ac:dyDescent="0.25">
      <c r="A429" t="s">
        <v>3750</v>
      </c>
      <c r="C429" t="s">
        <v>3000</v>
      </c>
      <c r="F429" t="s">
        <v>173</v>
      </c>
    </row>
    <row r="430" spans="1:6" x14ac:dyDescent="0.25">
      <c r="A430" t="s">
        <v>166</v>
      </c>
      <c r="C430" t="s">
        <v>3001</v>
      </c>
      <c r="F430" t="s">
        <v>665</v>
      </c>
    </row>
    <row r="431" spans="1:6" x14ac:dyDescent="0.25">
      <c r="A431" t="s">
        <v>3751</v>
      </c>
      <c r="C431" t="s">
        <v>3002</v>
      </c>
      <c r="F431" t="s">
        <v>666</v>
      </c>
    </row>
    <row r="432" spans="1:6" x14ac:dyDescent="0.25">
      <c r="A432" t="s">
        <v>3752</v>
      </c>
      <c r="C432" t="s">
        <v>3003</v>
      </c>
      <c r="F432" t="s">
        <v>667</v>
      </c>
    </row>
    <row r="433" spans="1:6" x14ac:dyDescent="0.25">
      <c r="A433" t="s">
        <v>202</v>
      </c>
      <c r="C433" t="s">
        <v>3004</v>
      </c>
      <c r="F433" t="s">
        <v>668</v>
      </c>
    </row>
    <row r="434" spans="1:6" x14ac:dyDescent="0.25">
      <c r="A434" t="s">
        <v>3753</v>
      </c>
      <c r="C434" t="s">
        <v>3005</v>
      </c>
      <c r="F434" t="s">
        <v>669</v>
      </c>
    </row>
    <row r="435" spans="1:6" x14ac:dyDescent="0.25">
      <c r="A435" t="s">
        <v>3754</v>
      </c>
      <c r="C435" t="s">
        <v>3006</v>
      </c>
      <c r="F435" t="s">
        <v>670</v>
      </c>
    </row>
    <row r="436" spans="1:6" x14ac:dyDescent="0.25">
      <c r="A436" t="s">
        <v>3755</v>
      </c>
      <c r="C436" t="s">
        <v>3007</v>
      </c>
      <c r="F436" t="s">
        <v>671</v>
      </c>
    </row>
    <row r="437" spans="1:6" x14ac:dyDescent="0.25">
      <c r="A437" t="s">
        <v>1734</v>
      </c>
      <c r="C437" t="s">
        <v>3008</v>
      </c>
      <c r="F437" t="s">
        <v>672</v>
      </c>
    </row>
    <row r="438" spans="1:6" x14ac:dyDescent="0.25">
      <c r="A438" t="s">
        <v>3756</v>
      </c>
      <c r="C438" t="s">
        <v>3009</v>
      </c>
      <c r="F438" t="s">
        <v>673</v>
      </c>
    </row>
    <row r="439" spans="1:6" x14ac:dyDescent="0.25">
      <c r="A439" t="s">
        <v>3757</v>
      </c>
      <c r="C439" t="s">
        <v>3010</v>
      </c>
      <c r="F439" t="s">
        <v>674</v>
      </c>
    </row>
    <row r="440" spans="1:6" x14ac:dyDescent="0.25">
      <c r="A440" t="s">
        <v>3758</v>
      </c>
      <c r="C440" t="s">
        <v>3011</v>
      </c>
      <c r="F440" t="s">
        <v>675</v>
      </c>
    </row>
    <row r="441" spans="1:6" x14ac:dyDescent="0.25">
      <c r="A441" t="s">
        <v>3759</v>
      </c>
      <c r="C441" t="s">
        <v>3012</v>
      </c>
      <c r="F441" t="s">
        <v>676</v>
      </c>
    </row>
    <row r="442" spans="1:6" x14ac:dyDescent="0.25">
      <c r="A442" t="s">
        <v>3760</v>
      </c>
      <c r="C442" t="s">
        <v>3013</v>
      </c>
      <c r="F442" t="s">
        <v>677</v>
      </c>
    </row>
    <row r="443" spans="1:6" x14ac:dyDescent="0.25">
      <c r="A443" t="s">
        <v>3761</v>
      </c>
      <c r="C443" t="s">
        <v>3014</v>
      </c>
      <c r="F443" t="s">
        <v>678</v>
      </c>
    </row>
    <row r="444" spans="1:6" x14ac:dyDescent="0.25">
      <c r="A444" t="s">
        <v>3762</v>
      </c>
      <c r="C444" t="s">
        <v>3015</v>
      </c>
      <c r="F444" t="s">
        <v>679</v>
      </c>
    </row>
    <row r="445" spans="1:6" x14ac:dyDescent="0.25">
      <c r="A445" t="s">
        <v>3763</v>
      </c>
      <c r="C445" t="s">
        <v>3016</v>
      </c>
      <c r="F445" t="s">
        <v>680</v>
      </c>
    </row>
    <row r="446" spans="1:6" x14ac:dyDescent="0.25">
      <c r="A446" t="s">
        <v>140</v>
      </c>
      <c r="C446" t="s">
        <v>3017</v>
      </c>
      <c r="F446" t="s">
        <v>681</v>
      </c>
    </row>
    <row r="447" spans="1:6" x14ac:dyDescent="0.25">
      <c r="A447" t="s">
        <v>3764</v>
      </c>
      <c r="C447" t="s">
        <v>3018</v>
      </c>
      <c r="F447" t="s">
        <v>682</v>
      </c>
    </row>
    <row r="448" spans="1:6" x14ac:dyDescent="0.25">
      <c r="A448" t="s">
        <v>3765</v>
      </c>
      <c r="C448" t="s">
        <v>3019</v>
      </c>
      <c r="F448" t="s">
        <v>683</v>
      </c>
    </row>
    <row r="449" spans="1:6" x14ac:dyDescent="0.25">
      <c r="A449" t="s">
        <v>1769</v>
      </c>
      <c r="C449" t="s">
        <v>3020</v>
      </c>
      <c r="F449" t="s">
        <v>684</v>
      </c>
    </row>
    <row r="450" spans="1:6" x14ac:dyDescent="0.25">
      <c r="A450" t="s">
        <v>3766</v>
      </c>
      <c r="C450" t="s">
        <v>3021</v>
      </c>
      <c r="F450" t="s">
        <v>685</v>
      </c>
    </row>
    <row r="451" spans="1:6" x14ac:dyDescent="0.25">
      <c r="A451" t="s">
        <v>2568</v>
      </c>
      <c r="C451" t="s">
        <v>3022</v>
      </c>
      <c r="F451" t="s">
        <v>686</v>
      </c>
    </row>
    <row r="452" spans="1:6" x14ac:dyDescent="0.25">
      <c r="A452" t="s">
        <v>3767</v>
      </c>
      <c r="C452" t="s">
        <v>3023</v>
      </c>
      <c r="F452" t="s">
        <v>687</v>
      </c>
    </row>
    <row r="453" spans="1:6" x14ac:dyDescent="0.25">
      <c r="A453" t="s">
        <v>3768</v>
      </c>
      <c r="C453" t="s">
        <v>3024</v>
      </c>
      <c r="F453" t="s">
        <v>688</v>
      </c>
    </row>
    <row r="454" spans="1:6" x14ac:dyDescent="0.25">
      <c r="A454" t="s">
        <v>3769</v>
      </c>
      <c r="C454" t="s">
        <v>3025</v>
      </c>
      <c r="F454" t="s">
        <v>689</v>
      </c>
    </row>
    <row r="455" spans="1:6" x14ac:dyDescent="0.25">
      <c r="A455" t="s">
        <v>3770</v>
      </c>
      <c r="C455" t="s">
        <v>3026</v>
      </c>
      <c r="F455" t="s">
        <v>690</v>
      </c>
    </row>
    <row r="456" spans="1:6" x14ac:dyDescent="0.25">
      <c r="A456" t="s">
        <v>3771</v>
      </c>
      <c r="C456" t="s">
        <v>3027</v>
      </c>
      <c r="F456" t="s">
        <v>691</v>
      </c>
    </row>
    <row r="457" spans="1:6" x14ac:dyDescent="0.25">
      <c r="A457" t="s">
        <v>3772</v>
      </c>
      <c r="C457" t="s">
        <v>3028</v>
      </c>
      <c r="F457" t="s">
        <v>692</v>
      </c>
    </row>
    <row r="458" spans="1:6" x14ac:dyDescent="0.25">
      <c r="A458" t="s">
        <v>223</v>
      </c>
      <c r="C458" t="s">
        <v>3029</v>
      </c>
      <c r="F458" t="s">
        <v>693</v>
      </c>
    </row>
    <row r="459" spans="1:6" x14ac:dyDescent="0.25">
      <c r="A459" t="s">
        <v>1119</v>
      </c>
      <c r="C459" t="s">
        <v>3030</v>
      </c>
      <c r="F459" t="s">
        <v>694</v>
      </c>
    </row>
    <row r="460" spans="1:6" x14ac:dyDescent="0.25">
      <c r="A460" t="s">
        <v>3773</v>
      </c>
      <c r="C460" t="s">
        <v>3031</v>
      </c>
      <c r="F460" t="s">
        <v>695</v>
      </c>
    </row>
    <row r="461" spans="1:6" x14ac:dyDescent="0.25">
      <c r="A461" t="s">
        <v>2541</v>
      </c>
      <c r="C461" t="s">
        <v>3032</v>
      </c>
      <c r="F461" t="s">
        <v>696</v>
      </c>
    </row>
    <row r="462" spans="1:6" x14ac:dyDescent="0.25">
      <c r="A462" t="s">
        <v>3774</v>
      </c>
      <c r="C462" t="s">
        <v>3033</v>
      </c>
      <c r="F462" t="s">
        <v>697</v>
      </c>
    </row>
    <row r="463" spans="1:6" x14ac:dyDescent="0.25">
      <c r="A463" t="s">
        <v>3775</v>
      </c>
      <c r="C463" t="s">
        <v>3034</v>
      </c>
      <c r="F463" t="s">
        <v>698</v>
      </c>
    </row>
    <row r="464" spans="1:6" x14ac:dyDescent="0.25">
      <c r="A464" t="s">
        <v>3776</v>
      </c>
      <c r="C464" t="s">
        <v>3035</v>
      </c>
      <c r="F464" t="s">
        <v>699</v>
      </c>
    </row>
    <row r="465" spans="1:6" x14ac:dyDescent="0.25">
      <c r="A465" t="s">
        <v>3777</v>
      </c>
      <c r="C465" t="s">
        <v>3036</v>
      </c>
      <c r="F465" t="s">
        <v>700</v>
      </c>
    </row>
    <row r="466" spans="1:6" x14ac:dyDescent="0.25">
      <c r="A466" t="s">
        <v>3778</v>
      </c>
      <c r="C466" t="s">
        <v>3037</v>
      </c>
      <c r="F466" t="s">
        <v>701</v>
      </c>
    </row>
    <row r="467" spans="1:6" x14ac:dyDescent="0.25">
      <c r="A467" t="s">
        <v>3779</v>
      </c>
      <c r="C467" t="s">
        <v>3038</v>
      </c>
      <c r="F467" t="s">
        <v>702</v>
      </c>
    </row>
    <row r="468" spans="1:6" x14ac:dyDescent="0.25">
      <c r="A468" t="s">
        <v>116</v>
      </c>
      <c r="C468" t="s">
        <v>3039</v>
      </c>
      <c r="F468" t="s">
        <v>703</v>
      </c>
    </row>
    <row r="469" spans="1:6" x14ac:dyDescent="0.25">
      <c r="A469" t="s">
        <v>3780</v>
      </c>
      <c r="C469" t="s">
        <v>3040</v>
      </c>
      <c r="F469" t="s">
        <v>704</v>
      </c>
    </row>
    <row r="470" spans="1:6" x14ac:dyDescent="0.25">
      <c r="A470" t="s">
        <v>3781</v>
      </c>
      <c r="C470" t="s">
        <v>3041</v>
      </c>
      <c r="F470" t="s">
        <v>705</v>
      </c>
    </row>
    <row r="471" spans="1:6" x14ac:dyDescent="0.25">
      <c r="A471" t="s">
        <v>3782</v>
      </c>
      <c r="C471" t="s">
        <v>3042</v>
      </c>
      <c r="F471" t="s">
        <v>706</v>
      </c>
    </row>
    <row r="472" spans="1:6" x14ac:dyDescent="0.25">
      <c r="A472" t="s">
        <v>3783</v>
      </c>
      <c r="C472" t="s">
        <v>1604</v>
      </c>
      <c r="F472" t="s">
        <v>707</v>
      </c>
    </row>
    <row r="473" spans="1:6" x14ac:dyDescent="0.25">
      <c r="A473" t="s">
        <v>78</v>
      </c>
      <c r="C473" t="s">
        <v>3043</v>
      </c>
      <c r="F473" t="s">
        <v>708</v>
      </c>
    </row>
    <row r="474" spans="1:6" x14ac:dyDescent="0.25">
      <c r="A474" t="s">
        <v>1339</v>
      </c>
      <c r="C474" t="s">
        <v>3044</v>
      </c>
      <c r="F474" t="s">
        <v>709</v>
      </c>
    </row>
    <row r="475" spans="1:6" x14ac:dyDescent="0.25">
      <c r="A475" t="s">
        <v>3784</v>
      </c>
      <c r="C475" t="s">
        <v>3045</v>
      </c>
      <c r="F475" t="s">
        <v>710</v>
      </c>
    </row>
    <row r="476" spans="1:6" x14ac:dyDescent="0.25">
      <c r="A476" t="s">
        <v>3785</v>
      </c>
      <c r="C476" t="s">
        <v>3046</v>
      </c>
      <c r="F476" t="s">
        <v>711</v>
      </c>
    </row>
    <row r="477" spans="1:6" x14ac:dyDescent="0.25">
      <c r="A477" t="s">
        <v>1619</v>
      </c>
      <c r="C477" t="s">
        <v>3047</v>
      </c>
      <c r="F477" t="s">
        <v>712</v>
      </c>
    </row>
    <row r="478" spans="1:6" x14ac:dyDescent="0.25">
      <c r="A478" t="s">
        <v>3786</v>
      </c>
      <c r="C478" t="s">
        <v>3048</v>
      </c>
      <c r="F478" t="s">
        <v>713</v>
      </c>
    </row>
    <row r="479" spans="1:6" x14ac:dyDescent="0.25">
      <c r="A479" t="s">
        <v>3787</v>
      </c>
      <c r="C479" t="s">
        <v>3049</v>
      </c>
      <c r="F479" t="s">
        <v>714</v>
      </c>
    </row>
    <row r="480" spans="1:6" x14ac:dyDescent="0.25">
      <c r="A480" t="s">
        <v>3788</v>
      </c>
      <c r="C480" t="s">
        <v>3050</v>
      </c>
      <c r="F480" t="s">
        <v>715</v>
      </c>
    </row>
    <row r="481" spans="1:6" x14ac:dyDescent="0.25">
      <c r="A481" t="s">
        <v>3789</v>
      </c>
      <c r="C481" t="s">
        <v>3051</v>
      </c>
      <c r="F481" t="s">
        <v>716</v>
      </c>
    </row>
    <row r="482" spans="1:6" x14ac:dyDescent="0.25">
      <c r="A482" t="s">
        <v>3790</v>
      </c>
      <c r="C482" t="s">
        <v>3052</v>
      </c>
      <c r="F482" t="s">
        <v>717</v>
      </c>
    </row>
    <row r="483" spans="1:6" x14ac:dyDescent="0.25">
      <c r="A483" t="s">
        <v>3791</v>
      </c>
      <c r="C483" t="s">
        <v>3053</v>
      </c>
      <c r="F483" t="s">
        <v>718</v>
      </c>
    </row>
    <row r="484" spans="1:6" x14ac:dyDescent="0.25">
      <c r="A484" t="s">
        <v>3792</v>
      </c>
      <c r="C484" t="s">
        <v>3054</v>
      </c>
      <c r="F484" t="s">
        <v>719</v>
      </c>
    </row>
    <row r="485" spans="1:6" x14ac:dyDescent="0.25">
      <c r="A485" t="s">
        <v>1439</v>
      </c>
      <c r="C485" t="s">
        <v>3055</v>
      </c>
      <c r="F485" t="s">
        <v>720</v>
      </c>
    </row>
    <row r="486" spans="1:6" x14ac:dyDescent="0.25">
      <c r="A486" t="s">
        <v>217</v>
      </c>
      <c r="C486" t="s">
        <v>3056</v>
      </c>
      <c r="F486" t="s">
        <v>721</v>
      </c>
    </row>
    <row r="487" spans="1:6" x14ac:dyDescent="0.25">
      <c r="A487" t="s">
        <v>3793</v>
      </c>
      <c r="C487" t="s">
        <v>3057</v>
      </c>
      <c r="F487" t="s">
        <v>722</v>
      </c>
    </row>
    <row r="488" spans="1:6" x14ac:dyDescent="0.25">
      <c r="A488" t="s">
        <v>3794</v>
      </c>
      <c r="C488" t="s">
        <v>961</v>
      </c>
      <c r="F488" t="s">
        <v>723</v>
      </c>
    </row>
    <row r="489" spans="1:6" x14ac:dyDescent="0.25">
      <c r="A489" t="s">
        <v>3795</v>
      </c>
      <c r="C489" t="s">
        <v>3058</v>
      </c>
      <c r="F489" t="s">
        <v>724</v>
      </c>
    </row>
    <row r="490" spans="1:6" x14ac:dyDescent="0.25">
      <c r="A490" t="s">
        <v>3796</v>
      </c>
      <c r="C490" t="s">
        <v>3059</v>
      </c>
      <c r="F490" t="s">
        <v>725</v>
      </c>
    </row>
    <row r="491" spans="1:6" x14ac:dyDescent="0.25">
      <c r="A491" t="s">
        <v>3797</v>
      </c>
      <c r="C491" t="s">
        <v>3060</v>
      </c>
      <c r="F491" t="s">
        <v>726</v>
      </c>
    </row>
    <row r="492" spans="1:6" x14ac:dyDescent="0.25">
      <c r="A492" t="s">
        <v>3798</v>
      </c>
      <c r="C492" t="s">
        <v>3061</v>
      </c>
      <c r="F492" t="s">
        <v>727</v>
      </c>
    </row>
    <row r="493" spans="1:6" x14ac:dyDescent="0.25">
      <c r="A493" t="s">
        <v>3799</v>
      </c>
      <c r="C493" t="s">
        <v>3062</v>
      </c>
      <c r="F493" t="s">
        <v>728</v>
      </c>
    </row>
    <row r="494" spans="1:6" x14ac:dyDescent="0.25">
      <c r="A494" t="s">
        <v>3800</v>
      </c>
      <c r="C494" t="s">
        <v>3063</v>
      </c>
      <c r="F494" t="s">
        <v>729</v>
      </c>
    </row>
    <row r="495" spans="1:6" x14ac:dyDescent="0.25">
      <c r="A495" t="s">
        <v>3801</v>
      </c>
      <c r="C495" t="s">
        <v>982</v>
      </c>
      <c r="F495" t="s">
        <v>730</v>
      </c>
    </row>
    <row r="496" spans="1:6" x14ac:dyDescent="0.25">
      <c r="A496" t="s">
        <v>3802</v>
      </c>
      <c r="C496" t="s">
        <v>3064</v>
      </c>
      <c r="F496" t="s">
        <v>731</v>
      </c>
    </row>
    <row r="497" spans="1:6" x14ac:dyDescent="0.25">
      <c r="A497" t="s">
        <v>3803</v>
      </c>
      <c r="C497" t="s">
        <v>3065</v>
      </c>
      <c r="F497" t="s">
        <v>732</v>
      </c>
    </row>
    <row r="498" spans="1:6" x14ac:dyDescent="0.25">
      <c r="A498" t="s">
        <v>3804</v>
      </c>
      <c r="C498" t="s">
        <v>3066</v>
      </c>
      <c r="F498" t="s">
        <v>733</v>
      </c>
    </row>
    <row r="499" spans="1:6" x14ac:dyDescent="0.25">
      <c r="A499" t="s">
        <v>3805</v>
      </c>
      <c r="C499" t="s">
        <v>3067</v>
      </c>
      <c r="F499" t="s">
        <v>734</v>
      </c>
    </row>
    <row r="500" spans="1:6" x14ac:dyDescent="0.25">
      <c r="A500" t="s">
        <v>598</v>
      </c>
      <c r="C500" t="s">
        <v>3068</v>
      </c>
      <c r="F500" t="s">
        <v>735</v>
      </c>
    </row>
    <row r="501" spans="1:6" x14ac:dyDescent="0.25">
      <c r="A501" t="s">
        <v>3806</v>
      </c>
      <c r="C501" t="s">
        <v>3069</v>
      </c>
      <c r="F501" t="s">
        <v>736</v>
      </c>
    </row>
    <row r="502" spans="1:6" x14ac:dyDescent="0.25">
      <c r="A502" t="s">
        <v>3807</v>
      </c>
      <c r="C502" t="s">
        <v>3070</v>
      </c>
      <c r="F502" t="s">
        <v>737</v>
      </c>
    </row>
    <row r="503" spans="1:6" x14ac:dyDescent="0.25">
      <c r="A503" t="s">
        <v>3808</v>
      </c>
      <c r="C503" t="s">
        <v>3071</v>
      </c>
      <c r="F503" t="s">
        <v>738</v>
      </c>
    </row>
    <row r="504" spans="1:6" x14ac:dyDescent="0.25">
      <c r="A504" t="s">
        <v>3809</v>
      </c>
      <c r="C504" t="s">
        <v>3072</v>
      </c>
      <c r="F504" t="s">
        <v>200</v>
      </c>
    </row>
    <row r="505" spans="1:6" x14ac:dyDescent="0.25">
      <c r="A505" t="s">
        <v>2609</v>
      </c>
      <c r="C505" t="s">
        <v>3073</v>
      </c>
      <c r="F505" t="s">
        <v>739</v>
      </c>
    </row>
    <row r="506" spans="1:6" x14ac:dyDescent="0.25">
      <c r="A506" t="s">
        <v>3810</v>
      </c>
      <c r="C506" t="s">
        <v>3074</v>
      </c>
      <c r="F506" t="s">
        <v>740</v>
      </c>
    </row>
    <row r="507" spans="1:6" x14ac:dyDescent="0.25">
      <c r="A507" t="s">
        <v>229</v>
      </c>
      <c r="C507" t="s">
        <v>3075</v>
      </c>
      <c r="F507" t="s">
        <v>741</v>
      </c>
    </row>
    <row r="508" spans="1:6" x14ac:dyDescent="0.25">
      <c r="A508" t="s">
        <v>41</v>
      </c>
      <c r="C508" t="s">
        <v>3076</v>
      </c>
      <c r="F508" t="s">
        <v>742</v>
      </c>
    </row>
    <row r="509" spans="1:6" x14ac:dyDescent="0.25">
      <c r="A509" t="s">
        <v>3811</v>
      </c>
      <c r="C509" t="s">
        <v>3077</v>
      </c>
      <c r="F509" t="s">
        <v>743</v>
      </c>
    </row>
    <row r="510" spans="1:6" x14ac:dyDescent="0.25">
      <c r="A510" t="s">
        <v>3812</v>
      </c>
      <c r="C510" t="s">
        <v>3078</v>
      </c>
      <c r="F510" t="s">
        <v>744</v>
      </c>
    </row>
    <row r="511" spans="1:6" x14ac:dyDescent="0.25">
      <c r="A511" t="s">
        <v>1774</v>
      </c>
      <c r="C511" t="s">
        <v>3079</v>
      </c>
      <c r="F511" t="s">
        <v>745</v>
      </c>
    </row>
    <row r="512" spans="1:6" x14ac:dyDescent="0.25">
      <c r="A512" t="s">
        <v>3813</v>
      </c>
      <c r="C512" t="s">
        <v>3080</v>
      </c>
      <c r="F512" t="s">
        <v>746</v>
      </c>
    </row>
    <row r="513" spans="1:6" x14ac:dyDescent="0.25">
      <c r="A513" t="s">
        <v>3814</v>
      </c>
      <c r="C513" t="s">
        <v>3081</v>
      </c>
      <c r="F513" t="s">
        <v>747</v>
      </c>
    </row>
    <row r="514" spans="1:6" x14ac:dyDescent="0.25">
      <c r="A514" t="s">
        <v>3815</v>
      </c>
      <c r="C514" t="s">
        <v>3082</v>
      </c>
      <c r="F514" t="s">
        <v>748</v>
      </c>
    </row>
    <row r="515" spans="1:6" x14ac:dyDescent="0.25">
      <c r="A515" t="s">
        <v>2474</v>
      </c>
      <c r="C515" t="s">
        <v>3083</v>
      </c>
      <c r="F515" t="s">
        <v>749</v>
      </c>
    </row>
    <row r="516" spans="1:6" x14ac:dyDescent="0.25">
      <c r="A516" t="s">
        <v>3816</v>
      </c>
      <c r="C516" t="s">
        <v>3084</v>
      </c>
      <c r="F516" t="s">
        <v>750</v>
      </c>
    </row>
    <row r="517" spans="1:6" x14ac:dyDescent="0.25">
      <c r="A517" t="s">
        <v>1312</v>
      </c>
      <c r="C517" t="s">
        <v>3085</v>
      </c>
      <c r="F517" t="s">
        <v>751</v>
      </c>
    </row>
    <row r="518" spans="1:6" x14ac:dyDescent="0.25">
      <c r="A518" t="s">
        <v>3817</v>
      </c>
      <c r="C518" t="s">
        <v>226</v>
      </c>
      <c r="F518" t="s">
        <v>752</v>
      </c>
    </row>
    <row r="519" spans="1:6" x14ac:dyDescent="0.25">
      <c r="A519" t="s">
        <v>3818</v>
      </c>
      <c r="C519" t="s">
        <v>3086</v>
      </c>
      <c r="F519" t="s">
        <v>753</v>
      </c>
    </row>
    <row r="520" spans="1:6" x14ac:dyDescent="0.25">
      <c r="A520" t="s">
        <v>2830</v>
      </c>
      <c r="C520" t="s">
        <v>3087</v>
      </c>
      <c r="F520" t="s">
        <v>754</v>
      </c>
    </row>
    <row r="521" spans="1:6" x14ac:dyDescent="0.25">
      <c r="A521" t="s">
        <v>3819</v>
      </c>
      <c r="C521" t="s">
        <v>3088</v>
      </c>
      <c r="F521" t="s">
        <v>755</v>
      </c>
    </row>
    <row r="522" spans="1:6" x14ac:dyDescent="0.25">
      <c r="A522" t="s">
        <v>3820</v>
      </c>
      <c r="C522" t="s">
        <v>3089</v>
      </c>
      <c r="F522" t="s">
        <v>756</v>
      </c>
    </row>
    <row r="523" spans="1:6" x14ac:dyDescent="0.25">
      <c r="A523" t="s">
        <v>3821</v>
      </c>
      <c r="C523" t="s">
        <v>3090</v>
      </c>
      <c r="F523" t="s">
        <v>757</v>
      </c>
    </row>
    <row r="524" spans="1:6" x14ac:dyDescent="0.25">
      <c r="A524" t="s">
        <v>3822</v>
      </c>
      <c r="C524" t="s">
        <v>3091</v>
      </c>
      <c r="F524" t="s">
        <v>758</v>
      </c>
    </row>
    <row r="525" spans="1:6" x14ac:dyDescent="0.25">
      <c r="A525" t="s">
        <v>3823</v>
      </c>
      <c r="C525" t="s">
        <v>3092</v>
      </c>
      <c r="F525" t="s">
        <v>759</v>
      </c>
    </row>
    <row r="526" spans="1:6" x14ac:dyDescent="0.25">
      <c r="A526" t="s">
        <v>1139</v>
      </c>
      <c r="C526" t="s">
        <v>3093</v>
      </c>
      <c r="F526" t="s">
        <v>760</v>
      </c>
    </row>
    <row r="527" spans="1:6" x14ac:dyDescent="0.25">
      <c r="A527" t="s">
        <v>2521</v>
      </c>
      <c r="C527" t="s">
        <v>3094</v>
      </c>
      <c r="F527" t="s">
        <v>761</v>
      </c>
    </row>
    <row r="528" spans="1:6" x14ac:dyDescent="0.25">
      <c r="A528" t="s">
        <v>3824</v>
      </c>
      <c r="C528" t="s">
        <v>3095</v>
      </c>
      <c r="F528" t="s">
        <v>762</v>
      </c>
    </row>
    <row r="529" spans="1:6" x14ac:dyDescent="0.25">
      <c r="A529" t="s">
        <v>3825</v>
      </c>
      <c r="C529" t="s">
        <v>3096</v>
      </c>
      <c r="F529" t="s">
        <v>208</v>
      </c>
    </row>
    <row r="530" spans="1:6" x14ac:dyDescent="0.25">
      <c r="A530" t="s">
        <v>287</v>
      </c>
      <c r="C530" t="s">
        <v>3097</v>
      </c>
      <c r="F530" t="s">
        <v>763</v>
      </c>
    </row>
    <row r="531" spans="1:6" x14ac:dyDescent="0.25">
      <c r="A531" t="s">
        <v>132</v>
      </c>
      <c r="C531" t="s">
        <v>3098</v>
      </c>
      <c r="F531" t="s">
        <v>764</v>
      </c>
    </row>
    <row r="532" spans="1:6" x14ac:dyDescent="0.25">
      <c r="A532" t="s">
        <v>77</v>
      </c>
      <c r="C532" t="s">
        <v>3099</v>
      </c>
      <c r="F532" t="s">
        <v>765</v>
      </c>
    </row>
    <row r="533" spans="1:6" x14ac:dyDescent="0.25">
      <c r="A533" t="s">
        <v>3826</v>
      </c>
      <c r="C533" t="s">
        <v>3100</v>
      </c>
      <c r="F533" t="s">
        <v>766</v>
      </c>
    </row>
    <row r="534" spans="1:6" x14ac:dyDescent="0.25">
      <c r="A534" t="s">
        <v>101</v>
      </c>
      <c r="C534" t="s">
        <v>3101</v>
      </c>
      <c r="F534" t="s">
        <v>767</v>
      </c>
    </row>
    <row r="535" spans="1:6" x14ac:dyDescent="0.25">
      <c r="A535" t="s">
        <v>3827</v>
      </c>
      <c r="C535" t="s">
        <v>3102</v>
      </c>
      <c r="F535" t="s">
        <v>768</v>
      </c>
    </row>
    <row r="536" spans="1:6" x14ac:dyDescent="0.25">
      <c r="A536" t="s">
        <v>2352</v>
      </c>
      <c r="C536" t="s">
        <v>3103</v>
      </c>
      <c r="F536" t="s">
        <v>769</v>
      </c>
    </row>
    <row r="537" spans="1:6" x14ac:dyDescent="0.25">
      <c r="A537" t="s">
        <v>36</v>
      </c>
      <c r="C537" t="s">
        <v>3104</v>
      </c>
      <c r="F537" t="s">
        <v>770</v>
      </c>
    </row>
    <row r="538" spans="1:6" x14ac:dyDescent="0.25">
      <c r="A538" t="s">
        <v>1187</v>
      </c>
      <c r="C538" t="s">
        <v>3105</v>
      </c>
      <c r="F538" t="s">
        <v>771</v>
      </c>
    </row>
    <row r="539" spans="1:6" x14ac:dyDescent="0.25">
      <c r="A539" t="s">
        <v>3828</v>
      </c>
      <c r="C539" t="s">
        <v>3106</v>
      </c>
      <c r="F539" t="s">
        <v>772</v>
      </c>
    </row>
    <row r="540" spans="1:6" x14ac:dyDescent="0.25">
      <c r="A540" t="s">
        <v>3829</v>
      </c>
      <c r="C540" t="s">
        <v>3107</v>
      </c>
      <c r="F540" t="s">
        <v>773</v>
      </c>
    </row>
    <row r="541" spans="1:6" x14ac:dyDescent="0.25">
      <c r="A541" t="s">
        <v>574</v>
      </c>
      <c r="C541" t="s">
        <v>3108</v>
      </c>
      <c r="F541" t="s">
        <v>774</v>
      </c>
    </row>
    <row r="542" spans="1:6" x14ac:dyDescent="0.25">
      <c r="A542" t="s">
        <v>3830</v>
      </c>
      <c r="C542" t="s">
        <v>3109</v>
      </c>
      <c r="F542" t="s">
        <v>775</v>
      </c>
    </row>
    <row r="543" spans="1:6" x14ac:dyDescent="0.25">
      <c r="A543" t="s">
        <v>3831</v>
      </c>
      <c r="C543" t="s">
        <v>3110</v>
      </c>
      <c r="F543" t="s">
        <v>776</v>
      </c>
    </row>
    <row r="544" spans="1:6" x14ac:dyDescent="0.25">
      <c r="A544" t="s">
        <v>3832</v>
      </c>
      <c r="C544" t="s">
        <v>3111</v>
      </c>
      <c r="F544" t="s">
        <v>777</v>
      </c>
    </row>
    <row r="545" spans="1:6" x14ac:dyDescent="0.25">
      <c r="A545" t="s">
        <v>96</v>
      </c>
      <c r="C545" t="s">
        <v>3112</v>
      </c>
      <c r="F545" t="s">
        <v>778</v>
      </c>
    </row>
    <row r="546" spans="1:6" x14ac:dyDescent="0.25">
      <c r="A546" t="s">
        <v>269</v>
      </c>
      <c r="C546" t="s">
        <v>3113</v>
      </c>
      <c r="F546" t="s">
        <v>779</v>
      </c>
    </row>
    <row r="547" spans="1:6" x14ac:dyDescent="0.25">
      <c r="A547" t="s">
        <v>3833</v>
      </c>
      <c r="C547" t="s">
        <v>3114</v>
      </c>
      <c r="F547" t="s">
        <v>780</v>
      </c>
    </row>
    <row r="548" spans="1:6" x14ac:dyDescent="0.25">
      <c r="A548" t="s">
        <v>3834</v>
      </c>
      <c r="C548" t="s">
        <v>3115</v>
      </c>
      <c r="F548" t="s">
        <v>781</v>
      </c>
    </row>
    <row r="549" spans="1:6" x14ac:dyDescent="0.25">
      <c r="A549" t="s">
        <v>3835</v>
      </c>
      <c r="C549" t="s">
        <v>1009</v>
      </c>
      <c r="F549" t="s">
        <v>782</v>
      </c>
    </row>
    <row r="550" spans="1:6" x14ac:dyDescent="0.25">
      <c r="A550" t="s">
        <v>172</v>
      </c>
      <c r="C550" t="s">
        <v>3116</v>
      </c>
      <c r="F550" t="s">
        <v>783</v>
      </c>
    </row>
    <row r="551" spans="1:6" x14ac:dyDescent="0.25">
      <c r="A551" t="s">
        <v>3836</v>
      </c>
      <c r="C551" t="s">
        <v>3117</v>
      </c>
      <c r="F551" t="s">
        <v>784</v>
      </c>
    </row>
    <row r="552" spans="1:6" x14ac:dyDescent="0.25">
      <c r="A552" t="s">
        <v>1318</v>
      </c>
      <c r="C552" t="s">
        <v>3118</v>
      </c>
      <c r="F552" t="s">
        <v>785</v>
      </c>
    </row>
    <row r="553" spans="1:6" x14ac:dyDescent="0.25">
      <c r="A553" t="s">
        <v>3837</v>
      </c>
      <c r="C553" t="s">
        <v>3119</v>
      </c>
      <c r="F553" t="s">
        <v>786</v>
      </c>
    </row>
    <row r="554" spans="1:6" x14ac:dyDescent="0.25">
      <c r="A554" t="s">
        <v>1805</v>
      </c>
      <c r="C554" t="s">
        <v>3120</v>
      </c>
      <c r="F554" t="s">
        <v>787</v>
      </c>
    </row>
    <row r="555" spans="1:6" x14ac:dyDescent="0.25">
      <c r="A555" t="s">
        <v>196</v>
      </c>
      <c r="C555" t="s">
        <v>3121</v>
      </c>
      <c r="F555" t="s">
        <v>788</v>
      </c>
    </row>
    <row r="556" spans="1:6" x14ac:dyDescent="0.25">
      <c r="A556" t="s">
        <v>147</v>
      </c>
      <c r="C556" t="s">
        <v>3122</v>
      </c>
      <c r="F556" t="s">
        <v>789</v>
      </c>
    </row>
    <row r="557" spans="1:6" x14ac:dyDescent="0.25">
      <c r="A557" t="s">
        <v>1941</v>
      </c>
      <c r="C557" t="s">
        <v>697</v>
      </c>
      <c r="F557" t="s">
        <v>790</v>
      </c>
    </row>
    <row r="558" spans="1:6" x14ac:dyDescent="0.25">
      <c r="A558" t="s">
        <v>3838</v>
      </c>
      <c r="C558" t="s">
        <v>3123</v>
      </c>
      <c r="F558" t="s">
        <v>791</v>
      </c>
    </row>
    <row r="559" spans="1:6" x14ac:dyDescent="0.25">
      <c r="A559" t="s">
        <v>3839</v>
      </c>
      <c r="C559" t="s">
        <v>3124</v>
      </c>
      <c r="F559" t="s">
        <v>792</v>
      </c>
    </row>
    <row r="560" spans="1:6" x14ac:dyDescent="0.25">
      <c r="A560" t="s">
        <v>3840</v>
      </c>
      <c r="C560" t="s">
        <v>3125</v>
      </c>
      <c r="F560" t="s">
        <v>793</v>
      </c>
    </row>
    <row r="561" spans="1:6" x14ac:dyDescent="0.25">
      <c r="A561" t="s">
        <v>1376</v>
      </c>
      <c r="C561" t="s">
        <v>3126</v>
      </c>
      <c r="F561" t="s">
        <v>794</v>
      </c>
    </row>
    <row r="562" spans="1:6" x14ac:dyDescent="0.25">
      <c r="A562" t="s">
        <v>120</v>
      </c>
      <c r="C562" t="s">
        <v>3127</v>
      </c>
      <c r="F562" t="s">
        <v>795</v>
      </c>
    </row>
    <row r="563" spans="1:6" x14ac:dyDescent="0.25">
      <c r="A563" t="s">
        <v>3841</v>
      </c>
      <c r="C563" t="s">
        <v>3128</v>
      </c>
      <c r="F563" t="s">
        <v>796</v>
      </c>
    </row>
    <row r="564" spans="1:6" x14ac:dyDescent="0.25">
      <c r="A564" t="s">
        <v>3842</v>
      </c>
      <c r="C564" t="s">
        <v>3129</v>
      </c>
      <c r="F564" t="s">
        <v>797</v>
      </c>
    </row>
    <row r="565" spans="1:6" x14ac:dyDescent="0.25">
      <c r="A565" t="s">
        <v>1255</v>
      </c>
      <c r="C565" t="s">
        <v>3130</v>
      </c>
      <c r="F565" t="s">
        <v>798</v>
      </c>
    </row>
    <row r="566" spans="1:6" x14ac:dyDescent="0.25">
      <c r="A566" t="s">
        <v>3843</v>
      </c>
      <c r="C566" t="s">
        <v>3131</v>
      </c>
      <c r="F566" t="s">
        <v>799</v>
      </c>
    </row>
    <row r="567" spans="1:6" x14ac:dyDescent="0.25">
      <c r="A567" t="s">
        <v>2116</v>
      </c>
      <c r="C567" t="s">
        <v>3132</v>
      </c>
      <c r="F567" t="s">
        <v>800</v>
      </c>
    </row>
    <row r="568" spans="1:6" x14ac:dyDescent="0.25">
      <c r="A568" t="s">
        <v>3844</v>
      </c>
      <c r="C568" t="s">
        <v>3133</v>
      </c>
      <c r="F568" t="s">
        <v>801</v>
      </c>
    </row>
    <row r="569" spans="1:6" x14ac:dyDescent="0.25">
      <c r="A569" t="s">
        <v>3845</v>
      </c>
      <c r="C569" t="s">
        <v>3134</v>
      </c>
      <c r="F569" t="s">
        <v>802</v>
      </c>
    </row>
    <row r="570" spans="1:6" x14ac:dyDescent="0.25">
      <c r="A570" t="s">
        <v>89</v>
      </c>
      <c r="C570" t="s">
        <v>3135</v>
      </c>
      <c r="F570" t="s">
        <v>803</v>
      </c>
    </row>
    <row r="571" spans="1:6" x14ac:dyDescent="0.25">
      <c r="A571" t="s">
        <v>3846</v>
      </c>
      <c r="C571" t="s">
        <v>3136</v>
      </c>
      <c r="F571" t="s">
        <v>804</v>
      </c>
    </row>
    <row r="572" spans="1:6" x14ac:dyDescent="0.25">
      <c r="A572" t="s">
        <v>33</v>
      </c>
      <c r="C572" t="s">
        <v>3137</v>
      </c>
      <c r="F572" t="s">
        <v>805</v>
      </c>
    </row>
    <row r="573" spans="1:6" x14ac:dyDescent="0.25">
      <c r="A573" t="s">
        <v>3847</v>
      </c>
      <c r="C573" t="s">
        <v>3138</v>
      </c>
      <c r="F573" t="s">
        <v>806</v>
      </c>
    </row>
    <row r="574" spans="1:6" x14ac:dyDescent="0.25">
      <c r="A574" t="s">
        <v>3848</v>
      </c>
      <c r="C574" t="s">
        <v>3139</v>
      </c>
      <c r="F574" t="s">
        <v>807</v>
      </c>
    </row>
    <row r="575" spans="1:6" x14ac:dyDescent="0.25">
      <c r="A575" t="s">
        <v>3849</v>
      </c>
      <c r="C575" t="s">
        <v>3140</v>
      </c>
      <c r="F575" t="s">
        <v>808</v>
      </c>
    </row>
    <row r="576" spans="1:6" x14ac:dyDescent="0.25">
      <c r="A576" t="s">
        <v>3850</v>
      </c>
      <c r="C576" t="s">
        <v>3141</v>
      </c>
      <c r="F576" t="s">
        <v>809</v>
      </c>
    </row>
    <row r="577" spans="1:6" x14ac:dyDescent="0.25">
      <c r="A577" t="s">
        <v>3851</v>
      </c>
      <c r="C577" t="s">
        <v>3142</v>
      </c>
      <c r="F577" t="s">
        <v>810</v>
      </c>
    </row>
    <row r="578" spans="1:6" x14ac:dyDescent="0.25">
      <c r="A578" t="s">
        <v>1692</v>
      </c>
      <c r="C578" t="s">
        <v>868</v>
      </c>
      <c r="F578" t="s">
        <v>811</v>
      </c>
    </row>
    <row r="579" spans="1:6" x14ac:dyDescent="0.25">
      <c r="A579" t="s">
        <v>3852</v>
      </c>
      <c r="C579" t="s">
        <v>3143</v>
      </c>
      <c r="F579" t="s">
        <v>812</v>
      </c>
    </row>
    <row r="580" spans="1:6" x14ac:dyDescent="0.25">
      <c r="A580" t="s">
        <v>3853</v>
      </c>
      <c r="C580" t="s">
        <v>3144</v>
      </c>
      <c r="F580" t="s">
        <v>813</v>
      </c>
    </row>
    <row r="581" spans="1:6" x14ac:dyDescent="0.25">
      <c r="A581" t="s">
        <v>3854</v>
      </c>
      <c r="C581" t="s">
        <v>3145</v>
      </c>
      <c r="F581" t="s">
        <v>814</v>
      </c>
    </row>
    <row r="582" spans="1:6" x14ac:dyDescent="0.25">
      <c r="A582" t="s">
        <v>3855</v>
      </c>
      <c r="C582" t="s">
        <v>3146</v>
      </c>
      <c r="F582" t="s">
        <v>815</v>
      </c>
    </row>
    <row r="583" spans="1:6" x14ac:dyDescent="0.25">
      <c r="A583" t="s">
        <v>3856</v>
      </c>
      <c r="C583" t="s">
        <v>3147</v>
      </c>
      <c r="F583" t="s">
        <v>816</v>
      </c>
    </row>
    <row r="584" spans="1:6" x14ac:dyDescent="0.25">
      <c r="A584" t="s">
        <v>1511</v>
      </c>
      <c r="C584" t="s">
        <v>3148</v>
      </c>
      <c r="F584" t="s">
        <v>817</v>
      </c>
    </row>
    <row r="585" spans="1:6" x14ac:dyDescent="0.25">
      <c r="A585" t="s">
        <v>3857</v>
      </c>
      <c r="C585" t="s">
        <v>3149</v>
      </c>
      <c r="F585" t="s">
        <v>818</v>
      </c>
    </row>
    <row r="586" spans="1:6" x14ac:dyDescent="0.25">
      <c r="A586" t="s">
        <v>3858</v>
      </c>
      <c r="C586" t="s">
        <v>3150</v>
      </c>
      <c r="F586" t="s">
        <v>819</v>
      </c>
    </row>
    <row r="587" spans="1:6" x14ac:dyDescent="0.25">
      <c r="A587" t="s">
        <v>3859</v>
      </c>
      <c r="C587" t="s">
        <v>3151</v>
      </c>
      <c r="F587" t="s">
        <v>820</v>
      </c>
    </row>
    <row r="588" spans="1:6" x14ac:dyDescent="0.25">
      <c r="A588" t="s">
        <v>305</v>
      </c>
      <c r="C588" t="s">
        <v>3152</v>
      </c>
      <c r="F588" t="s">
        <v>821</v>
      </c>
    </row>
    <row r="589" spans="1:6" x14ac:dyDescent="0.25">
      <c r="A589" t="s">
        <v>3860</v>
      </c>
      <c r="C589" t="s">
        <v>3153</v>
      </c>
      <c r="F589" t="s">
        <v>822</v>
      </c>
    </row>
    <row r="590" spans="1:6" x14ac:dyDescent="0.25">
      <c r="A590" t="s">
        <v>3861</v>
      </c>
      <c r="C590" t="s">
        <v>3154</v>
      </c>
      <c r="F590" t="s">
        <v>823</v>
      </c>
    </row>
    <row r="591" spans="1:6" x14ac:dyDescent="0.25">
      <c r="A591" t="s">
        <v>108</v>
      </c>
      <c r="C591" t="s">
        <v>3155</v>
      </c>
      <c r="F591" t="s">
        <v>824</v>
      </c>
    </row>
    <row r="592" spans="1:6" x14ac:dyDescent="0.25">
      <c r="A592" t="s">
        <v>2206</v>
      </c>
      <c r="C592" t="s">
        <v>3156</v>
      </c>
      <c r="F592" t="s">
        <v>825</v>
      </c>
    </row>
    <row r="593" spans="1:6" x14ac:dyDescent="0.25">
      <c r="A593" t="s">
        <v>3862</v>
      </c>
      <c r="C593" t="s">
        <v>3157</v>
      </c>
      <c r="F593" t="s">
        <v>826</v>
      </c>
    </row>
    <row r="594" spans="1:6" x14ac:dyDescent="0.25">
      <c r="A594" t="s">
        <v>1654</v>
      </c>
      <c r="C594" t="s">
        <v>3158</v>
      </c>
      <c r="F594" t="s">
        <v>827</v>
      </c>
    </row>
    <row r="595" spans="1:6" x14ac:dyDescent="0.25">
      <c r="A595" t="s">
        <v>3863</v>
      </c>
      <c r="C595" t="s">
        <v>3159</v>
      </c>
      <c r="F595" t="s">
        <v>828</v>
      </c>
    </row>
    <row r="596" spans="1:6" x14ac:dyDescent="0.25">
      <c r="A596" t="s">
        <v>3864</v>
      </c>
      <c r="C596" t="s">
        <v>3160</v>
      </c>
      <c r="F596" t="s">
        <v>829</v>
      </c>
    </row>
    <row r="597" spans="1:6" x14ac:dyDescent="0.25">
      <c r="A597" t="s">
        <v>3865</v>
      </c>
      <c r="C597" t="s">
        <v>3161</v>
      </c>
      <c r="F597" t="s">
        <v>830</v>
      </c>
    </row>
    <row r="598" spans="1:6" x14ac:dyDescent="0.25">
      <c r="A598" t="s">
        <v>3866</v>
      </c>
      <c r="C598" t="s">
        <v>3162</v>
      </c>
      <c r="F598" t="s">
        <v>237</v>
      </c>
    </row>
    <row r="599" spans="1:6" x14ac:dyDescent="0.25">
      <c r="A599" t="s">
        <v>1565</v>
      </c>
      <c r="C599" t="s">
        <v>3163</v>
      </c>
      <c r="F599" t="s">
        <v>831</v>
      </c>
    </row>
    <row r="600" spans="1:6" x14ac:dyDescent="0.25">
      <c r="A600" t="s">
        <v>3867</v>
      </c>
      <c r="C600" t="s">
        <v>1114</v>
      </c>
      <c r="F600" t="s">
        <v>832</v>
      </c>
    </row>
    <row r="601" spans="1:6" x14ac:dyDescent="0.25">
      <c r="A601" t="s">
        <v>232</v>
      </c>
      <c r="C601" t="s">
        <v>3164</v>
      </c>
      <c r="F601" t="s">
        <v>833</v>
      </c>
    </row>
    <row r="602" spans="1:6" x14ac:dyDescent="0.25">
      <c r="A602" t="s">
        <v>2744</v>
      </c>
      <c r="C602" t="s">
        <v>3165</v>
      </c>
      <c r="F602" t="s">
        <v>834</v>
      </c>
    </row>
    <row r="603" spans="1:6" x14ac:dyDescent="0.25">
      <c r="A603" t="s">
        <v>3868</v>
      </c>
      <c r="C603" t="s">
        <v>3166</v>
      </c>
      <c r="F603" t="s">
        <v>835</v>
      </c>
    </row>
    <row r="604" spans="1:6" x14ac:dyDescent="0.25">
      <c r="A604" t="s">
        <v>3869</v>
      </c>
      <c r="C604" t="s">
        <v>3167</v>
      </c>
      <c r="F604" t="s">
        <v>836</v>
      </c>
    </row>
    <row r="605" spans="1:6" x14ac:dyDescent="0.25">
      <c r="A605" t="s">
        <v>112</v>
      </c>
      <c r="C605" t="s">
        <v>1553</v>
      </c>
      <c r="F605" t="s">
        <v>837</v>
      </c>
    </row>
    <row r="606" spans="1:6" x14ac:dyDescent="0.25">
      <c r="A606" t="s">
        <v>3870</v>
      </c>
      <c r="C606" t="s">
        <v>3168</v>
      </c>
      <c r="F606" t="s">
        <v>838</v>
      </c>
    </row>
    <row r="607" spans="1:6" x14ac:dyDescent="0.25">
      <c r="A607" t="s">
        <v>3871</v>
      </c>
      <c r="C607" t="s">
        <v>3169</v>
      </c>
      <c r="F607" t="s">
        <v>839</v>
      </c>
    </row>
    <row r="608" spans="1:6" x14ac:dyDescent="0.25">
      <c r="A608" t="s">
        <v>3872</v>
      </c>
      <c r="C608" t="s">
        <v>3170</v>
      </c>
      <c r="F608" t="s">
        <v>840</v>
      </c>
    </row>
    <row r="609" spans="1:6" x14ac:dyDescent="0.25">
      <c r="A609" t="s">
        <v>3873</v>
      </c>
      <c r="C609" t="s">
        <v>3171</v>
      </c>
      <c r="F609" t="s">
        <v>841</v>
      </c>
    </row>
    <row r="610" spans="1:6" x14ac:dyDescent="0.25">
      <c r="A610" t="s">
        <v>904</v>
      </c>
      <c r="C610" t="s">
        <v>3172</v>
      </c>
      <c r="F610" t="s">
        <v>842</v>
      </c>
    </row>
    <row r="611" spans="1:6" x14ac:dyDescent="0.25">
      <c r="A611" t="s">
        <v>227</v>
      </c>
      <c r="C611" t="s">
        <v>3173</v>
      </c>
      <c r="F611" t="s">
        <v>843</v>
      </c>
    </row>
    <row r="612" spans="1:6" x14ac:dyDescent="0.25">
      <c r="A612" t="s">
        <v>2812</v>
      </c>
      <c r="C612" t="s">
        <v>3174</v>
      </c>
      <c r="F612" t="s">
        <v>844</v>
      </c>
    </row>
    <row r="613" spans="1:6" x14ac:dyDescent="0.25">
      <c r="A613" t="s">
        <v>2100</v>
      </c>
      <c r="C613" t="s">
        <v>3175</v>
      </c>
      <c r="F613" t="s">
        <v>845</v>
      </c>
    </row>
    <row r="614" spans="1:6" x14ac:dyDescent="0.25">
      <c r="A614" t="s">
        <v>3874</v>
      </c>
      <c r="C614" t="s">
        <v>3176</v>
      </c>
      <c r="F614" t="s">
        <v>846</v>
      </c>
    </row>
    <row r="615" spans="1:6" x14ac:dyDescent="0.25">
      <c r="A615" t="s">
        <v>3875</v>
      </c>
      <c r="C615" t="s">
        <v>3177</v>
      </c>
      <c r="F615" t="s">
        <v>847</v>
      </c>
    </row>
    <row r="616" spans="1:6" x14ac:dyDescent="0.25">
      <c r="A616" t="s">
        <v>1189</v>
      </c>
      <c r="C616" t="s">
        <v>3178</v>
      </c>
      <c r="F616" t="s">
        <v>848</v>
      </c>
    </row>
    <row r="617" spans="1:6" x14ac:dyDescent="0.25">
      <c r="A617" t="s">
        <v>3876</v>
      </c>
      <c r="C617" t="s">
        <v>3179</v>
      </c>
      <c r="F617" t="s">
        <v>849</v>
      </c>
    </row>
    <row r="618" spans="1:6" x14ac:dyDescent="0.25">
      <c r="A618" t="s">
        <v>3877</v>
      </c>
      <c r="C618" t="s">
        <v>3180</v>
      </c>
      <c r="F618" t="s">
        <v>850</v>
      </c>
    </row>
    <row r="619" spans="1:6" x14ac:dyDescent="0.25">
      <c r="A619" t="s">
        <v>3878</v>
      </c>
      <c r="C619" t="s">
        <v>3181</v>
      </c>
      <c r="F619" t="s">
        <v>75</v>
      </c>
    </row>
    <row r="620" spans="1:6" x14ac:dyDescent="0.25">
      <c r="A620" t="s">
        <v>141</v>
      </c>
      <c r="C620" t="s">
        <v>3182</v>
      </c>
      <c r="F620" t="s">
        <v>851</v>
      </c>
    </row>
    <row r="621" spans="1:6" x14ac:dyDescent="0.25">
      <c r="A621" t="s">
        <v>2071</v>
      </c>
      <c r="C621" t="s">
        <v>3183</v>
      </c>
      <c r="F621" t="s">
        <v>852</v>
      </c>
    </row>
    <row r="622" spans="1:6" x14ac:dyDescent="0.25">
      <c r="A622" t="s">
        <v>3879</v>
      </c>
      <c r="C622" t="s">
        <v>3184</v>
      </c>
      <c r="F622" t="s">
        <v>853</v>
      </c>
    </row>
    <row r="623" spans="1:6" x14ac:dyDescent="0.25">
      <c r="A623" t="s">
        <v>3880</v>
      </c>
      <c r="C623" t="s">
        <v>3185</v>
      </c>
      <c r="F623" t="s">
        <v>854</v>
      </c>
    </row>
    <row r="624" spans="1:6" x14ac:dyDescent="0.25">
      <c r="A624" t="s">
        <v>3881</v>
      </c>
      <c r="C624" t="s">
        <v>3186</v>
      </c>
      <c r="F624" t="s">
        <v>855</v>
      </c>
    </row>
    <row r="625" spans="1:6" x14ac:dyDescent="0.25">
      <c r="A625" t="s">
        <v>3882</v>
      </c>
      <c r="C625" t="s">
        <v>3187</v>
      </c>
      <c r="F625" t="s">
        <v>856</v>
      </c>
    </row>
    <row r="626" spans="1:6" x14ac:dyDescent="0.25">
      <c r="A626" t="s">
        <v>1290</v>
      </c>
      <c r="C626" t="s">
        <v>3188</v>
      </c>
      <c r="F626" t="s">
        <v>857</v>
      </c>
    </row>
    <row r="627" spans="1:6" x14ac:dyDescent="0.25">
      <c r="A627" t="s">
        <v>3883</v>
      </c>
      <c r="C627" t="s">
        <v>3189</v>
      </c>
      <c r="F627" t="s">
        <v>858</v>
      </c>
    </row>
    <row r="628" spans="1:6" x14ac:dyDescent="0.25">
      <c r="A628" t="s">
        <v>3884</v>
      </c>
      <c r="C628" t="s">
        <v>3190</v>
      </c>
      <c r="F628" t="s">
        <v>859</v>
      </c>
    </row>
    <row r="629" spans="1:6" x14ac:dyDescent="0.25">
      <c r="A629" t="s">
        <v>3885</v>
      </c>
      <c r="C629" t="s">
        <v>3191</v>
      </c>
      <c r="F629" t="s">
        <v>860</v>
      </c>
    </row>
    <row r="630" spans="1:6" x14ac:dyDescent="0.25">
      <c r="A630" t="s">
        <v>3886</v>
      </c>
      <c r="C630" t="s">
        <v>966</v>
      </c>
      <c r="F630" t="s">
        <v>861</v>
      </c>
    </row>
    <row r="631" spans="1:6" x14ac:dyDescent="0.25">
      <c r="A631" t="s">
        <v>195</v>
      </c>
      <c r="C631" t="s">
        <v>3192</v>
      </c>
      <c r="F631" t="s">
        <v>1119</v>
      </c>
    </row>
    <row r="632" spans="1:6" x14ac:dyDescent="0.25">
      <c r="A632" t="s">
        <v>92</v>
      </c>
      <c r="C632" t="s">
        <v>3193</v>
      </c>
      <c r="F632" t="s">
        <v>1120</v>
      </c>
    </row>
    <row r="633" spans="1:6" x14ac:dyDescent="0.25">
      <c r="A633" t="s">
        <v>146</v>
      </c>
      <c r="C633" t="s">
        <v>3194</v>
      </c>
      <c r="F633" t="s">
        <v>1121</v>
      </c>
    </row>
    <row r="634" spans="1:6" x14ac:dyDescent="0.25">
      <c r="A634" t="s">
        <v>3887</v>
      </c>
      <c r="C634" t="s">
        <v>3195</v>
      </c>
      <c r="F634" t="s">
        <v>1122</v>
      </c>
    </row>
    <row r="635" spans="1:6" x14ac:dyDescent="0.25">
      <c r="A635" t="s">
        <v>3888</v>
      </c>
      <c r="C635" t="s">
        <v>3196</v>
      </c>
      <c r="F635" t="s">
        <v>1123</v>
      </c>
    </row>
    <row r="636" spans="1:6" x14ac:dyDescent="0.25">
      <c r="A636" t="s">
        <v>366</v>
      </c>
      <c r="C636" t="s">
        <v>3197</v>
      </c>
      <c r="F636" t="s">
        <v>1124</v>
      </c>
    </row>
    <row r="637" spans="1:6" x14ac:dyDescent="0.25">
      <c r="A637" t="s">
        <v>3889</v>
      </c>
      <c r="C637" t="s">
        <v>360</v>
      </c>
      <c r="F637" t="s">
        <v>1125</v>
      </c>
    </row>
    <row r="638" spans="1:6" x14ac:dyDescent="0.25">
      <c r="A638" t="s">
        <v>3890</v>
      </c>
      <c r="C638" t="s">
        <v>3198</v>
      </c>
      <c r="F638" t="s">
        <v>1126</v>
      </c>
    </row>
    <row r="639" spans="1:6" x14ac:dyDescent="0.25">
      <c r="A639" t="s">
        <v>3891</v>
      </c>
      <c r="C639" t="s">
        <v>3199</v>
      </c>
      <c r="F639" t="s">
        <v>50</v>
      </c>
    </row>
    <row r="640" spans="1:6" x14ac:dyDescent="0.25">
      <c r="A640" t="s">
        <v>3892</v>
      </c>
      <c r="C640" t="s">
        <v>3200</v>
      </c>
      <c r="F640" t="s">
        <v>1127</v>
      </c>
    </row>
    <row r="641" spans="1:6" x14ac:dyDescent="0.25">
      <c r="A641" t="s">
        <v>3893</v>
      </c>
      <c r="C641" t="s">
        <v>1025</v>
      </c>
      <c r="F641" t="s">
        <v>1128</v>
      </c>
    </row>
    <row r="642" spans="1:6" x14ac:dyDescent="0.25">
      <c r="A642" t="s">
        <v>3894</v>
      </c>
      <c r="C642" t="s">
        <v>3201</v>
      </c>
      <c r="F642" t="s">
        <v>80</v>
      </c>
    </row>
    <row r="643" spans="1:6" x14ac:dyDescent="0.25">
      <c r="A643" t="s">
        <v>1231</v>
      </c>
      <c r="C643" t="s">
        <v>3202</v>
      </c>
      <c r="F643" t="s">
        <v>1129</v>
      </c>
    </row>
    <row r="644" spans="1:6" x14ac:dyDescent="0.25">
      <c r="A644" t="s">
        <v>115</v>
      </c>
      <c r="C644" t="s">
        <v>3203</v>
      </c>
      <c r="F644" t="s">
        <v>45</v>
      </c>
    </row>
    <row r="645" spans="1:6" x14ac:dyDescent="0.25">
      <c r="A645" t="s">
        <v>2384</v>
      </c>
      <c r="C645" t="s">
        <v>3204</v>
      </c>
      <c r="F645" t="s">
        <v>1130</v>
      </c>
    </row>
    <row r="646" spans="1:6" x14ac:dyDescent="0.25">
      <c r="A646" t="s">
        <v>3895</v>
      </c>
      <c r="C646" t="s">
        <v>3205</v>
      </c>
      <c r="F646" t="s">
        <v>1131</v>
      </c>
    </row>
    <row r="647" spans="1:6" x14ac:dyDescent="0.25">
      <c r="A647" t="s">
        <v>3896</v>
      </c>
      <c r="C647" t="s">
        <v>3206</v>
      </c>
      <c r="F647" t="s">
        <v>1132</v>
      </c>
    </row>
    <row r="648" spans="1:6" x14ac:dyDescent="0.25">
      <c r="A648" t="s">
        <v>14</v>
      </c>
      <c r="C648" t="s">
        <v>3207</v>
      </c>
      <c r="F648" t="s">
        <v>1133</v>
      </c>
    </row>
    <row r="649" spans="1:6" x14ac:dyDescent="0.25">
      <c r="A649" t="s">
        <v>90</v>
      </c>
      <c r="C649" t="s">
        <v>3208</v>
      </c>
      <c r="F649" t="s">
        <v>1134</v>
      </c>
    </row>
    <row r="650" spans="1:6" x14ac:dyDescent="0.25">
      <c r="A650" t="s">
        <v>3897</v>
      </c>
      <c r="C650" t="s">
        <v>3209</v>
      </c>
      <c r="F650" t="s">
        <v>1135</v>
      </c>
    </row>
    <row r="651" spans="1:6" x14ac:dyDescent="0.25">
      <c r="A651" t="s">
        <v>3898</v>
      </c>
      <c r="C651" t="s">
        <v>3210</v>
      </c>
      <c r="F651" t="s">
        <v>81</v>
      </c>
    </row>
    <row r="652" spans="1:6" x14ac:dyDescent="0.25">
      <c r="A652" t="s">
        <v>168</v>
      </c>
      <c r="C652" t="s">
        <v>3211</v>
      </c>
      <c r="F652" t="s">
        <v>1136</v>
      </c>
    </row>
    <row r="653" spans="1:6" x14ac:dyDescent="0.25">
      <c r="A653" t="s">
        <v>3899</v>
      </c>
      <c r="C653" t="s">
        <v>3212</v>
      </c>
      <c r="F653" t="s">
        <v>1137</v>
      </c>
    </row>
    <row r="654" spans="1:6" x14ac:dyDescent="0.25">
      <c r="A654" t="s">
        <v>3900</v>
      </c>
      <c r="C654" t="s">
        <v>3213</v>
      </c>
      <c r="F654" t="s">
        <v>1138</v>
      </c>
    </row>
    <row r="655" spans="1:6" x14ac:dyDescent="0.25">
      <c r="A655" t="s">
        <v>3901</v>
      </c>
      <c r="C655" t="s">
        <v>3214</v>
      </c>
      <c r="F655" t="s">
        <v>1139</v>
      </c>
    </row>
    <row r="656" spans="1:6" x14ac:dyDescent="0.25">
      <c r="A656" t="s">
        <v>748</v>
      </c>
      <c r="C656" t="s">
        <v>3215</v>
      </c>
      <c r="F656" t="s">
        <v>1140</v>
      </c>
    </row>
    <row r="657" spans="1:6" x14ac:dyDescent="0.25">
      <c r="A657" t="s">
        <v>3902</v>
      </c>
      <c r="C657" t="s">
        <v>3216</v>
      </c>
      <c r="F657" t="s">
        <v>1141</v>
      </c>
    </row>
    <row r="658" spans="1:6" x14ac:dyDescent="0.25">
      <c r="A658" t="s">
        <v>3903</v>
      </c>
      <c r="C658" t="s">
        <v>3217</v>
      </c>
      <c r="F658" t="s">
        <v>1142</v>
      </c>
    </row>
    <row r="659" spans="1:6" x14ac:dyDescent="0.25">
      <c r="A659" t="s">
        <v>3904</v>
      </c>
      <c r="C659" t="s">
        <v>3218</v>
      </c>
      <c r="F659" t="s">
        <v>1143</v>
      </c>
    </row>
    <row r="660" spans="1:6" x14ac:dyDescent="0.25">
      <c r="A660" t="s">
        <v>114</v>
      </c>
      <c r="C660" t="s">
        <v>3219</v>
      </c>
      <c r="F660" t="s">
        <v>1144</v>
      </c>
    </row>
    <row r="661" spans="1:6" x14ac:dyDescent="0.25">
      <c r="A661" t="s">
        <v>17</v>
      </c>
      <c r="C661" t="s">
        <v>3220</v>
      </c>
      <c r="F661" t="s">
        <v>1145</v>
      </c>
    </row>
    <row r="662" spans="1:6" x14ac:dyDescent="0.25">
      <c r="A662" t="s">
        <v>2451</v>
      </c>
      <c r="C662" t="s">
        <v>3221</v>
      </c>
      <c r="F662" t="s">
        <v>1146</v>
      </c>
    </row>
    <row r="663" spans="1:6" x14ac:dyDescent="0.25">
      <c r="A663" t="s">
        <v>3905</v>
      </c>
      <c r="C663" t="s">
        <v>3222</v>
      </c>
      <c r="F663" t="s">
        <v>1147</v>
      </c>
    </row>
    <row r="664" spans="1:6" x14ac:dyDescent="0.25">
      <c r="A664" t="s">
        <v>3906</v>
      </c>
      <c r="C664" t="s">
        <v>3223</v>
      </c>
      <c r="F664" t="s">
        <v>1148</v>
      </c>
    </row>
    <row r="665" spans="1:6" x14ac:dyDescent="0.25">
      <c r="A665" t="s">
        <v>2707</v>
      </c>
      <c r="C665" t="s">
        <v>3224</v>
      </c>
      <c r="F665" t="s">
        <v>1149</v>
      </c>
    </row>
    <row r="666" spans="1:6" x14ac:dyDescent="0.25">
      <c r="A666" t="s">
        <v>25</v>
      </c>
      <c r="C666" t="s">
        <v>3225</v>
      </c>
      <c r="F666" t="s">
        <v>1150</v>
      </c>
    </row>
    <row r="667" spans="1:6" x14ac:dyDescent="0.25">
      <c r="A667" t="s">
        <v>3907</v>
      </c>
      <c r="C667" t="s">
        <v>3226</v>
      </c>
      <c r="F667" t="s">
        <v>1151</v>
      </c>
    </row>
    <row r="668" spans="1:6" x14ac:dyDescent="0.25">
      <c r="A668" t="s">
        <v>3908</v>
      </c>
      <c r="C668" t="s">
        <v>3227</v>
      </c>
      <c r="F668" t="s">
        <v>1152</v>
      </c>
    </row>
    <row r="669" spans="1:6" x14ac:dyDescent="0.25">
      <c r="A669" t="s">
        <v>3909</v>
      </c>
      <c r="C669" t="s">
        <v>3228</v>
      </c>
      <c r="F669" t="s">
        <v>1153</v>
      </c>
    </row>
    <row r="670" spans="1:6" x14ac:dyDescent="0.25">
      <c r="A670" t="s">
        <v>3910</v>
      </c>
      <c r="C670" t="s">
        <v>3229</v>
      </c>
      <c r="F670" t="s">
        <v>1154</v>
      </c>
    </row>
    <row r="671" spans="1:6" x14ac:dyDescent="0.25">
      <c r="A671" t="s">
        <v>1546</v>
      </c>
      <c r="C671" t="s">
        <v>3230</v>
      </c>
      <c r="F671" t="s">
        <v>43</v>
      </c>
    </row>
    <row r="672" spans="1:6" x14ac:dyDescent="0.25">
      <c r="A672" t="s">
        <v>3911</v>
      </c>
      <c r="C672" t="s">
        <v>3231</v>
      </c>
      <c r="F672" t="s">
        <v>1155</v>
      </c>
    </row>
    <row r="673" spans="1:6" x14ac:dyDescent="0.25">
      <c r="A673" t="s">
        <v>87</v>
      </c>
      <c r="C673" t="s">
        <v>3232</v>
      </c>
      <c r="F673" t="s">
        <v>1156</v>
      </c>
    </row>
    <row r="674" spans="1:6" x14ac:dyDescent="0.25">
      <c r="A674" t="s">
        <v>3912</v>
      </c>
      <c r="C674" t="s">
        <v>3233</v>
      </c>
      <c r="F674" t="s">
        <v>1157</v>
      </c>
    </row>
    <row r="675" spans="1:6" x14ac:dyDescent="0.25">
      <c r="A675" t="s">
        <v>139</v>
      </c>
      <c r="C675" t="s">
        <v>3234</v>
      </c>
      <c r="F675" t="s">
        <v>881</v>
      </c>
    </row>
    <row r="676" spans="1:6" x14ac:dyDescent="0.25">
      <c r="A676" t="s">
        <v>671</v>
      </c>
      <c r="C676" t="s">
        <v>3235</v>
      </c>
      <c r="F676" t="s">
        <v>1158</v>
      </c>
    </row>
    <row r="677" spans="1:6" x14ac:dyDescent="0.25">
      <c r="A677" t="s">
        <v>2455</v>
      </c>
      <c r="C677" t="s">
        <v>3236</v>
      </c>
      <c r="F677" t="s">
        <v>1159</v>
      </c>
    </row>
    <row r="678" spans="1:6" x14ac:dyDescent="0.25">
      <c r="A678" t="s">
        <v>3913</v>
      </c>
      <c r="C678" t="s">
        <v>3237</v>
      </c>
      <c r="F678" t="s">
        <v>1160</v>
      </c>
    </row>
    <row r="679" spans="1:6" x14ac:dyDescent="0.25">
      <c r="A679" t="s">
        <v>1243</v>
      </c>
      <c r="C679" t="s">
        <v>3238</v>
      </c>
      <c r="F679" t="s">
        <v>1161</v>
      </c>
    </row>
    <row r="680" spans="1:6" x14ac:dyDescent="0.25">
      <c r="A680" t="s">
        <v>49</v>
      </c>
      <c r="C680" t="s">
        <v>3239</v>
      </c>
      <c r="F680" t="s">
        <v>1162</v>
      </c>
    </row>
    <row r="681" spans="1:6" x14ac:dyDescent="0.25">
      <c r="A681" t="s">
        <v>3914</v>
      </c>
      <c r="C681" t="s">
        <v>3240</v>
      </c>
      <c r="F681" t="s">
        <v>1163</v>
      </c>
    </row>
    <row r="682" spans="1:6" x14ac:dyDescent="0.25">
      <c r="A682" t="s">
        <v>644</v>
      </c>
      <c r="C682" t="s">
        <v>3241</v>
      </c>
      <c r="F682" t="s">
        <v>1164</v>
      </c>
    </row>
    <row r="683" spans="1:6" x14ac:dyDescent="0.25">
      <c r="A683" t="s">
        <v>3915</v>
      </c>
      <c r="C683" t="s">
        <v>3242</v>
      </c>
      <c r="F683" t="s">
        <v>1165</v>
      </c>
    </row>
    <row r="684" spans="1:6" x14ac:dyDescent="0.25">
      <c r="A684" t="s">
        <v>3916</v>
      </c>
      <c r="C684" t="s">
        <v>3243</v>
      </c>
      <c r="F684" t="s">
        <v>1166</v>
      </c>
    </row>
    <row r="685" spans="1:6" x14ac:dyDescent="0.25">
      <c r="A685" t="s">
        <v>133</v>
      </c>
      <c r="C685" t="s">
        <v>3244</v>
      </c>
      <c r="F685" t="s">
        <v>1167</v>
      </c>
    </row>
    <row r="686" spans="1:6" x14ac:dyDescent="0.25">
      <c r="A686" t="s">
        <v>3917</v>
      </c>
      <c r="C686" t="s">
        <v>3245</v>
      </c>
      <c r="F686" t="s">
        <v>70</v>
      </c>
    </row>
    <row r="687" spans="1:6" x14ac:dyDescent="0.25">
      <c r="A687" t="s">
        <v>3918</v>
      </c>
      <c r="C687" t="s">
        <v>3246</v>
      </c>
      <c r="F687" t="s">
        <v>1168</v>
      </c>
    </row>
    <row r="688" spans="1:6" x14ac:dyDescent="0.25">
      <c r="A688" t="s">
        <v>3919</v>
      </c>
      <c r="C688" t="s">
        <v>3247</v>
      </c>
      <c r="F688" t="s">
        <v>1169</v>
      </c>
    </row>
    <row r="689" spans="1:6" x14ac:dyDescent="0.25">
      <c r="A689" t="s">
        <v>1200</v>
      </c>
      <c r="C689" t="s">
        <v>3248</v>
      </c>
      <c r="F689" t="s">
        <v>1170</v>
      </c>
    </row>
    <row r="690" spans="1:6" x14ac:dyDescent="0.25">
      <c r="A690" t="s">
        <v>3920</v>
      </c>
      <c r="C690" t="s">
        <v>3249</v>
      </c>
      <c r="F690" t="s">
        <v>1171</v>
      </c>
    </row>
    <row r="691" spans="1:6" x14ac:dyDescent="0.25">
      <c r="A691" t="s">
        <v>3921</v>
      </c>
      <c r="C691" t="s">
        <v>3250</v>
      </c>
      <c r="F691" t="s">
        <v>1172</v>
      </c>
    </row>
    <row r="692" spans="1:6" x14ac:dyDescent="0.25">
      <c r="A692" t="s">
        <v>3922</v>
      </c>
      <c r="C692" t="s">
        <v>3251</v>
      </c>
      <c r="F692" t="s">
        <v>1173</v>
      </c>
    </row>
    <row r="693" spans="1:6" x14ac:dyDescent="0.25">
      <c r="A693" t="s">
        <v>3923</v>
      </c>
      <c r="C693" t="s">
        <v>3252</v>
      </c>
      <c r="F693" t="s">
        <v>1174</v>
      </c>
    </row>
    <row r="694" spans="1:6" x14ac:dyDescent="0.25">
      <c r="A694" t="s">
        <v>2351</v>
      </c>
      <c r="C694" t="s">
        <v>3253</v>
      </c>
      <c r="F694" t="s">
        <v>1175</v>
      </c>
    </row>
    <row r="695" spans="1:6" x14ac:dyDescent="0.25">
      <c r="A695" t="s">
        <v>3924</v>
      </c>
      <c r="C695" t="s">
        <v>3254</v>
      </c>
      <c r="F695" t="s">
        <v>1176</v>
      </c>
    </row>
    <row r="696" spans="1:6" x14ac:dyDescent="0.25">
      <c r="A696" t="s">
        <v>3925</v>
      </c>
      <c r="C696" t="s">
        <v>3255</v>
      </c>
      <c r="F696" t="s">
        <v>1177</v>
      </c>
    </row>
    <row r="697" spans="1:6" x14ac:dyDescent="0.25">
      <c r="A697" t="s">
        <v>3926</v>
      </c>
      <c r="C697" t="s">
        <v>3256</v>
      </c>
      <c r="F697" t="s">
        <v>1178</v>
      </c>
    </row>
    <row r="698" spans="1:6" x14ac:dyDescent="0.25">
      <c r="A698" t="s">
        <v>3927</v>
      </c>
      <c r="C698" t="s">
        <v>3257</v>
      </c>
      <c r="F698" t="s">
        <v>1179</v>
      </c>
    </row>
    <row r="699" spans="1:6" x14ac:dyDescent="0.25">
      <c r="A699" t="s">
        <v>3928</v>
      </c>
      <c r="C699" t="s">
        <v>3258</v>
      </c>
      <c r="F699" t="s">
        <v>1180</v>
      </c>
    </row>
    <row r="700" spans="1:6" x14ac:dyDescent="0.25">
      <c r="A700" t="s">
        <v>12</v>
      </c>
      <c r="C700" t="s">
        <v>3259</v>
      </c>
      <c r="F700" t="s">
        <v>1181</v>
      </c>
    </row>
    <row r="701" spans="1:6" x14ac:dyDescent="0.25">
      <c r="A701" t="s">
        <v>3929</v>
      </c>
      <c r="C701" t="s">
        <v>3260</v>
      </c>
      <c r="F701" t="s">
        <v>1182</v>
      </c>
    </row>
    <row r="702" spans="1:6" x14ac:dyDescent="0.25">
      <c r="A702" t="s">
        <v>82</v>
      </c>
      <c r="C702" t="s">
        <v>3261</v>
      </c>
      <c r="F702" t="s">
        <v>1183</v>
      </c>
    </row>
    <row r="703" spans="1:6" x14ac:dyDescent="0.25">
      <c r="A703" t="s">
        <v>3930</v>
      </c>
      <c r="C703" t="s">
        <v>3262</v>
      </c>
      <c r="F703" t="s">
        <v>1184</v>
      </c>
    </row>
    <row r="704" spans="1:6" x14ac:dyDescent="0.25">
      <c r="A704" t="s">
        <v>1383</v>
      </c>
      <c r="C704" t="s">
        <v>3263</v>
      </c>
      <c r="F704" t="s">
        <v>1185</v>
      </c>
    </row>
    <row r="705" spans="1:6" x14ac:dyDescent="0.25">
      <c r="A705" t="s">
        <v>433</v>
      </c>
      <c r="C705" t="s">
        <v>3264</v>
      </c>
      <c r="F705" t="s">
        <v>1186</v>
      </c>
    </row>
    <row r="706" spans="1:6" x14ac:dyDescent="0.25">
      <c r="A706" t="s">
        <v>3931</v>
      </c>
      <c r="C706" t="s">
        <v>3265</v>
      </c>
      <c r="F706" t="s">
        <v>1187</v>
      </c>
    </row>
    <row r="707" spans="1:6" x14ac:dyDescent="0.25">
      <c r="A707" t="s">
        <v>3932</v>
      </c>
      <c r="C707" t="s">
        <v>3266</v>
      </c>
      <c r="F707" t="s">
        <v>1188</v>
      </c>
    </row>
    <row r="708" spans="1:6" x14ac:dyDescent="0.25">
      <c r="A708" t="s">
        <v>154</v>
      </c>
      <c r="C708" t="s">
        <v>3267</v>
      </c>
      <c r="F708" t="s">
        <v>1189</v>
      </c>
    </row>
    <row r="709" spans="1:6" x14ac:dyDescent="0.25">
      <c r="A709" t="s">
        <v>51</v>
      </c>
      <c r="C709" t="s">
        <v>958</v>
      </c>
      <c r="F709" t="s">
        <v>1190</v>
      </c>
    </row>
    <row r="710" spans="1:6" x14ac:dyDescent="0.25">
      <c r="A710" t="s">
        <v>3933</v>
      </c>
      <c r="C710" t="s">
        <v>3268</v>
      </c>
      <c r="F710" t="s">
        <v>954</v>
      </c>
    </row>
    <row r="711" spans="1:6" x14ac:dyDescent="0.25">
      <c r="A711" t="s">
        <v>2328</v>
      </c>
      <c r="C711" t="s">
        <v>1575</v>
      </c>
      <c r="F711" t="s">
        <v>1191</v>
      </c>
    </row>
    <row r="712" spans="1:6" x14ac:dyDescent="0.25">
      <c r="A712" t="s">
        <v>3934</v>
      </c>
      <c r="C712" t="s">
        <v>3269</v>
      </c>
      <c r="F712" t="s">
        <v>1192</v>
      </c>
    </row>
    <row r="713" spans="1:6" x14ac:dyDescent="0.25">
      <c r="A713" t="s">
        <v>3935</v>
      </c>
      <c r="C713" t="s">
        <v>3270</v>
      </c>
      <c r="F713" t="s">
        <v>1193</v>
      </c>
    </row>
    <row r="714" spans="1:6" x14ac:dyDescent="0.25">
      <c r="A714" t="s">
        <v>3936</v>
      </c>
      <c r="C714" t="s">
        <v>939</v>
      </c>
      <c r="F714" t="s">
        <v>1194</v>
      </c>
    </row>
    <row r="715" spans="1:6" x14ac:dyDescent="0.25">
      <c r="A715" t="s">
        <v>3937</v>
      </c>
      <c r="C715" t="s">
        <v>3271</v>
      </c>
      <c r="F715" t="s">
        <v>1195</v>
      </c>
    </row>
    <row r="716" spans="1:6" x14ac:dyDescent="0.25">
      <c r="A716" t="s">
        <v>3938</v>
      </c>
      <c r="C716" t="s">
        <v>3272</v>
      </c>
      <c r="F716" t="s">
        <v>1196</v>
      </c>
    </row>
    <row r="717" spans="1:6" x14ac:dyDescent="0.25">
      <c r="A717" t="s">
        <v>3939</v>
      </c>
      <c r="C717" t="s">
        <v>3273</v>
      </c>
      <c r="F717" t="s">
        <v>1197</v>
      </c>
    </row>
    <row r="718" spans="1:6" x14ac:dyDescent="0.25">
      <c r="A718" t="s">
        <v>136</v>
      </c>
      <c r="C718" t="s">
        <v>3274</v>
      </c>
      <c r="F718" t="s">
        <v>1198</v>
      </c>
    </row>
    <row r="719" spans="1:6" x14ac:dyDescent="0.25">
      <c r="A719" t="s">
        <v>3940</v>
      </c>
      <c r="C719" t="s">
        <v>3275</v>
      </c>
      <c r="F719" t="s">
        <v>1199</v>
      </c>
    </row>
    <row r="720" spans="1:6" x14ac:dyDescent="0.25">
      <c r="A720" t="s">
        <v>3941</v>
      </c>
      <c r="C720" t="s">
        <v>3276</v>
      </c>
      <c r="F720" t="s">
        <v>1200</v>
      </c>
    </row>
    <row r="721" spans="1:6" x14ac:dyDescent="0.25">
      <c r="A721" t="s">
        <v>3942</v>
      </c>
      <c r="C721" t="s">
        <v>3277</v>
      </c>
      <c r="F721" t="s">
        <v>1201</v>
      </c>
    </row>
    <row r="722" spans="1:6" x14ac:dyDescent="0.25">
      <c r="A722" t="s">
        <v>23</v>
      </c>
      <c r="C722" t="s">
        <v>3278</v>
      </c>
      <c r="F722" t="s">
        <v>1202</v>
      </c>
    </row>
    <row r="723" spans="1:6" x14ac:dyDescent="0.25">
      <c r="A723" t="s">
        <v>3943</v>
      </c>
      <c r="C723" t="s">
        <v>3279</v>
      </c>
      <c r="F723" t="s">
        <v>1203</v>
      </c>
    </row>
    <row r="724" spans="1:6" x14ac:dyDescent="0.25">
      <c r="A724" t="s">
        <v>3944</v>
      </c>
      <c r="C724" t="s">
        <v>3280</v>
      </c>
      <c r="F724" t="s">
        <v>1204</v>
      </c>
    </row>
    <row r="725" spans="1:6" x14ac:dyDescent="0.25">
      <c r="A725" t="s">
        <v>118</v>
      </c>
      <c r="C725" t="s">
        <v>3281</v>
      </c>
      <c r="F725" t="s">
        <v>1205</v>
      </c>
    </row>
    <row r="726" spans="1:6" x14ac:dyDescent="0.25">
      <c r="A726" t="s">
        <v>1839</v>
      </c>
      <c r="C726" t="s">
        <v>3282</v>
      </c>
      <c r="F726" t="s">
        <v>1206</v>
      </c>
    </row>
    <row r="727" spans="1:6" x14ac:dyDescent="0.25">
      <c r="A727" t="s">
        <v>3945</v>
      </c>
      <c r="C727" t="s">
        <v>3283</v>
      </c>
      <c r="F727" t="s">
        <v>1207</v>
      </c>
    </row>
    <row r="728" spans="1:6" x14ac:dyDescent="0.25">
      <c r="A728" t="s">
        <v>3946</v>
      </c>
      <c r="C728" t="s">
        <v>3284</v>
      </c>
      <c r="F728" t="s">
        <v>1208</v>
      </c>
    </row>
    <row r="729" spans="1:6" x14ac:dyDescent="0.25">
      <c r="A729" t="s">
        <v>3947</v>
      </c>
      <c r="C729" t="s">
        <v>3285</v>
      </c>
      <c r="F729" t="s">
        <v>1209</v>
      </c>
    </row>
    <row r="730" spans="1:6" x14ac:dyDescent="0.25">
      <c r="A730" t="s">
        <v>3948</v>
      </c>
      <c r="C730" t="s">
        <v>3286</v>
      </c>
      <c r="F730" t="s">
        <v>1210</v>
      </c>
    </row>
    <row r="731" spans="1:6" x14ac:dyDescent="0.25">
      <c r="A731" t="s">
        <v>1588</v>
      </c>
      <c r="C731" t="s">
        <v>3287</v>
      </c>
      <c r="F731" t="s">
        <v>1211</v>
      </c>
    </row>
    <row r="732" spans="1:6" x14ac:dyDescent="0.25">
      <c r="A732" t="s">
        <v>3949</v>
      </c>
      <c r="C732" t="s">
        <v>3288</v>
      </c>
      <c r="F732" t="s">
        <v>1212</v>
      </c>
    </row>
    <row r="733" spans="1:6" x14ac:dyDescent="0.25">
      <c r="A733" t="s">
        <v>3950</v>
      </c>
      <c r="C733" t="s">
        <v>3289</v>
      </c>
      <c r="F733" t="s">
        <v>1213</v>
      </c>
    </row>
    <row r="734" spans="1:6" x14ac:dyDescent="0.25">
      <c r="A734" t="s">
        <v>3951</v>
      </c>
      <c r="C734" t="s">
        <v>3290</v>
      </c>
      <c r="F734" t="s">
        <v>1214</v>
      </c>
    </row>
    <row r="735" spans="1:6" x14ac:dyDescent="0.25">
      <c r="A735" t="s">
        <v>70</v>
      </c>
      <c r="C735" t="s">
        <v>3291</v>
      </c>
      <c r="F735" t="s">
        <v>120</v>
      </c>
    </row>
    <row r="736" spans="1:6" x14ac:dyDescent="0.25">
      <c r="A736" t="s">
        <v>3952</v>
      </c>
      <c r="C736" t="s">
        <v>3292</v>
      </c>
      <c r="F736" t="s">
        <v>1215</v>
      </c>
    </row>
    <row r="737" spans="1:6" x14ac:dyDescent="0.25">
      <c r="A737" t="s">
        <v>1685</v>
      </c>
      <c r="C737" t="s">
        <v>3293</v>
      </c>
      <c r="F737" t="s">
        <v>1216</v>
      </c>
    </row>
    <row r="738" spans="1:6" x14ac:dyDescent="0.25">
      <c r="A738" t="s">
        <v>3953</v>
      </c>
      <c r="C738" t="s">
        <v>3294</v>
      </c>
      <c r="F738" t="s">
        <v>1217</v>
      </c>
    </row>
    <row r="739" spans="1:6" x14ac:dyDescent="0.25">
      <c r="A739" t="s">
        <v>3954</v>
      </c>
      <c r="C739" t="s">
        <v>3295</v>
      </c>
      <c r="F739" t="s">
        <v>1218</v>
      </c>
    </row>
    <row r="740" spans="1:6" x14ac:dyDescent="0.25">
      <c r="A740" t="s">
        <v>2775</v>
      </c>
      <c r="C740" t="s">
        <v>3296</v>
      </c>
      <c r="F740" t="s">
        <v>1219</v>
      </c>
    </row>
    <row r="741" spans="1:6" x14ac:dyDescent="0.25">
      <c r="A741" t="s">
        <v>3955</v>
      </c>
      <c r="C741" t="s">
        <v>979</v>
      </c>
      <c r="F741" t="s">
        <v>1220</v>
      </c>
    </row>
    <row r="742" spans="1:6" x14ac:dyDescent="0.25">
      <c r="A742" t="s">
        <v>478</v>
      </c>
      <c r="C742" t="s">
        <v>1030</v>
      </c>
      <c r="F742" t="s">
        <v>3</v>
      </c>
    </row>
    <row r="743" spans="1:6" x14ac:dyDescent="0.25">
      <c r="A743" t="s">
        <v>3956</v>
      </c>
      <c r="C743" t="s">
        <v>3297</v>
      </c>
      <c r="F743" t="s">
        <v>1221</v>
      </c>
    </row>
    <row r="744" spans="1:6" x14ac:dyDescent="0.25">
      <c r="A744" t="s">
        <v>3957</v>
      </c>
      <c r="C744" t="s">
        <v>3298</v>
      </c>
      <c r="F744" t="s">
        <v>1222</v>
      </c>
    </row>
    <row r="745" spans="1:6" x14ac:dyDescent="0.25">
      <c r="A745" t="s">
        <v>3958</v>
      </c>
      <c r="C745" t="s">
        <v>2695</v>
      </c>
      <c r="F745" t="s">
        <v>1223</v>
      </c>
    </row>
    <row r="746" spans="1:6" x14ac:dyDescent="0.25">
      <c r="A746" t="s">
        <v>3959</v>
      </c>
      <c r="C746" t="s">
        <v>940</v>
      </c>
      <c r="F746" t="s">
        <v>1224</v>
      </c>
    </row>
    <row r="747" spans="1:6" x14ac:dyDescent="0.25">
      <c r="A747" t="s">
        <v>3960</v>
      </c>
      <c r="C747" t="s">
        <v>3299</v>
      </c>
      <c r="F747" t="s">
        <v>1225</v>
      </c>
    </row>
    <row r="748" spans="1:6" x14ac:dyDescent="0.25">
      <c r="A748" t="s">
        <v>3961</v>
      </c>
      <c r="C748" t="s">
        <v>3300</v>
      </c>
      <c r="F748" t="s">
        <v>1226</v>
      </c>
    </row>
    <row r="749" spans="1:6" x14ac:dyDescent="0.25">
      <c r="A749" t="s">
        <v>3962</v>
      </c>
      <c r="C749" t="s">
        <v>3301</v>
      </c>
      <c r="F749" t="s">
        <v>1227</v>
      </c>
    </row>
    <row r="750" spans="1:6" x14ac:dyDescent="0.25">
      <c r="A750" t="s">
        <v>3963</v>
      </c>
      <c r="C750" t="s">
        <v>3302</v>
      </c>
      <c r="F750" t="s">
        <v>1228</v>
      </c>
    </row>
    <row r="751" spans="1:6" x14ac:dyDescent="0.25">
      <c r="A751" t="s">
        <v>3964</v>
      </c>
      <c r="C751" t="s">
        <v>3303</v>
      </c>
      <c r="F751" t="s">
        <v>1229</v>
      </c>
    </row>
    <row r="752" spans="1:6" x14ac:dyDescent="0.25">
      <c r="A752" t="s">
        <v>3965</v>
      </c>
      <c r="C752" t="s">
        <v>3304</v>
      </c>
      <c r="F752" t="s">
        <v>1230</v>
      </c>
    </row>
    <row r="753" spans="1:6" x14ac:dyDescent="0.25">
      <c r="A753" t="s">
        <v>910</v>
      </c>
      <c r="C753" t="s">
        <v>3305</v>
      </c>
      <c r="F753" t="s">
        <v>1231</v>
      </c>
    </row>
    <row r="754" spans="1:6" x14ac:dyDescent="0.25">
      <c r="A754" t="s">
        <v>3966</v>
      </c>
      <c r="C754" t="s">
        <v>3306</v>
      </c>
      <c r="F754" t="s">
        <v>1232</v>
      </c>
    </row>
    <row r="755" spans="1:6" x14ac:dyDescent="0.25">
      <c r="A755" t="s">
        <v>3967</v>
      </c>
      <c r="C755" t="s">
        <v>3307</v>
      </c>
      <c r="F755" t="s">
        <v>1233</v>
      </c>
    </row>
    <row r="756" spans="1:6" x14ac:dyDescent="0.25">
      <c r="A756" t="s">
        <v>3968</v>
      </c>
      <c r="C756" t="s">
        <v>3308</v>
      </c>
      <c r="F756" t="s">
        <v>1234</v>
      </c>
    </row>
    <row r="757" spans="1:6" x14ac:dyDescent="0.25">
      <c r="A757" t="s">
        <v>3969</v>
      </c>
      <c r="C757" t="s">
        <v>3309</v>
      </c>
      <c r="F757" t="s">
        <v>1235</v>
      </c>
    </row>
    <row r="758" spans="1:6" x14ac:dyDescent="0.25">
      <c r="A758" t="s">
        <v>3970</v>
      </c>
      <c r="C758" t="s">
        <v>3310</v>
      </c>
      <c r="F758" t="s">
        <v>1236</v>
      </c>
    </row>
    <row r="759" spans="1:6" x14ac:dyDescent="0.25">
      <c r="A759" t="s">
        <v>881</v>
      </c>
      <c r="C759" t="s">
        <v>3311</v>
      </c>
      <c r="F759" t="s">
        <v>1237</v>
      </c>
    </row>
    <row r="760" spans="1:6" x14ac:dyDescent="0.25">
      <c r="A760" t="s">
        <v>235</v>
      </c>
      <c r="C760" t="s">
        <v>3312</v>
      </c>
      <c r="F760" t="s">
        <v>1238</v>
      </c>
    </row>
    <row r="761" spans="1:6" x14ac:dyDescent="0.25">
      <c r="A761" t="s">
        <v>3971</v>
      </c>
      <c r="C761" t="s">
        <v>3313</v>
      </c>
      <c r="F761" t="s">
        <v>1239</v>
      </c>
    </row>
    <row r="762" spans="1:6" x14ac:dyDescent="0.25">
      <c r="A762" t="s">
        <v>3972</v>
      </c>
      <c r="C762" t="s">
        <v>3314</v>
      </c>
      <c r="F762" t="s">
        <v>1240</v>
      </c>
    </row>
    <row r="763" spans="1:6" x14ac:dyDescent="0.25">
      <c r="A763" t="s">
        <v>2165</v>
      </c>
      <c r="C763" t="s">
        <v>3315</v>
      </c>
      <c r="F763" t="s">
        <v>230</v>
      </c>
    </row>
    <row r="764" spans="1:6" x14ac:dyDescent="0.25">
      <c r="A764" t="s">
        <v>1202</v>
      </c>
      <c r="C764" t="s">
        <v>3316</v>
      </c>
      <c r="F764" t="s">
        <v>1241</v>
      </c>
    </row>
    <row r="765" spans="1:6" x14ac:dyDescent="0.25">
      <c r="A765" t="s">
        <v>3973</v>
      </c>
      <c r="C765" t="s">
        <v>3317</v>
      </c>
      <c r="F765" t="s">
        <v>1242</v>
      </c>
    </row>
    <row r="766" spans="1:6" x14ac:dyDescent="0.25">
      <c r="A766" t="s">
        <v>2661</v>
      </c>
      <c r="C766" t="s">
        <v>3318</v>
      </c>
      <c r="F766" t="s">
        <v>1243</v>
      </c>
    </row>
    <row r="767" spans="1:6" x14ac:dyDescent="0.25">
      <c r="A767" t="s">
        <v>2194</v>
      </c>
      <c r="C767" t="s">
        <v>3319</v>
      </c>
      <c r="F767" t="s">
        <v>1244</v>
      </c>
    </row>
    <row r="768" spans="1:6" x14ac:dyDescent="0.25">
      <c r="A768" t="s">
        <v>3974</v>
      </c>
      <c r="C768" t="s">
        <v>3320</v>
      </c>
      <c r="F768" t="s">
        <v>1245</v>
      </c>
    </row>
    <row r="769" spans="1:6" x14ac:dyDescent="0.25">
      <c r="A769" t="s">
        <v>3975</v>
      </c>
      <c r="C769" t="s">
        <v>3321</v>
      </c>
      <c r="F769" t="s">
        <v>136</v>
      </c>
    </row>
    <row r="770" spans="1:6" x14ac:dyDescent="0.25">
      <c r="A770" t="s">
        <v>2550</v>
      </c>
      <c r="C770" t="s">
        <v>3322</v>
      </c>
      <c r="F770" t="s">
        <v>1246</v>
      </c>
    </row>
    <row r="771" spans="1:6" x14ac:dyDescent="0.25">
      <c r="A771" t="s">
        <v>1118</v>
      </c>
      <c r="C771" t="s">
        <v>3323</v>
      </c>
      <c r="F771" t="s">
        <v>1247</v>
      </c>
    </row>
    <row r="772" spans="1:6" x14ac:dyDescent="0.25">
      <c r="A772" t="s">
        <v>1800</v>
      </c>
      <c r="C772" t="s">
        <v>3324</v>
      </c>
      <c r="F772" t="s">
        <v>1248</v>
      </c>
    </row>
    <row r="773" spans="1:6" x14ac:dyDescent="0.25">
      <c r="A773" t="s">
        <v>1299</v>
      </c>
      <c r="C773" t="s">
        <v>3325</v>
      </c>
      <c r="F773" t="s">
        <v>1249</v>
      </c>
    </row>
    <row r="774" spans="1:6" x14ac:dyDescent="0.25">
      <c r="A774" t="s">
        <v>2810</v>
      </c>
      <c r="C774" t="s">
        <v>3326</v>
      </c>
      <c r="F774" t="s">
        <v>1250</v>
      </c>
    </row>
    <row r="775" spans="1:6" x14ac:dyDescent="0.25">
      <c r="A775" t="s">
        <v>1411</v>
      </c>
      <c r="C775" t="s">
        <v>3327</v>
      </c>
      <c r="F775" t="s">
        <v>1251</v>
      </c>
    </row>
    <row r="776" spans="1:6" x14ac:dyDescent="0.25">
      <c r="A776" t="s">
        <v>3976</v>
      </c>
      <c r="C776" t="s">
        <v>3328</v>
      </c>
      <c r="F776" t="s">
        <v>1252</v>
      </c>
    </row>
    <row r="777" spans="1:6" x14ac:dyDescent="0.25">
      <c r="A777" t="s">
        <v>3977</v>
      </c>
      <c r="C777" t="s">
        <v>3329</v>
      </c>
      <c r="F777" t="s">
        <v>1253</v>
      </c>
    </row>
    <row r="778" spans="1:6" x14ac:dyDescent="0.25">
      <c r="A778" t="s">
        <v>3978</v>
      </c>
      <c r="C778" t="s">
        <v>3330</v>
      </c>
      <c r="F778" t="s">
        <v>1254</v>
      </c>
    </row>
    <row r="779" spans="1:6" x14ac:dyDescent="0.25">
      <c r="A779" t="s">
        <v>128</v>
      </c>
      <c r="C779" t="s">
        <v>3331</v>
      </c>
      <c r="F779" t="s">
        <v>1255</v>
      </c>
    </row>
    <row r="780" spans="1:6" x14ac:dyDescent="0.25">
      <c r="A780" t="s">
        <v>3979</v>
      </c>
      <c r="C780" t="s">
        <v>3332</v>
      </c>
      <c r="F780" t="s">
        <v>1256</v>
      </c>
    </row>
    <row r="781" spans="1:6" x14ac:dyDescent="0.25">
      <c r="A781" t="s">
        <v>3980</v>
      </c>
      <c r="C781" t="s">
        <v>3333</v>
      </c>
      <c r="F781" t="s">
        <v>1257</v>
      </c>
    </row>
    <row r="782" spans="1:6" x14ac:dyDescent="0.25">
      <c r="A782" t="s">
        <v>3981</v>
      </c>
      <c r="C782" t="s">
        <v>3334</v>
      </c>
      <c r="F782" t="s">
        <v>1258</v>
      </c>
    </row>
    <row r="783" spans="1:6" x14ac:dyDescent="0.25">
      <c r="A783" t="s">
        <v>3982</v>
      </c>
      <c r="C783" t="s">
        <v>3335</v>
      </c>
      <c r="F783" t="s">
        <v>139</v>
      </c>
    </row>
    <row r="784" spans="1:6" x14ac:dyDescent="0.25">
      <c r="A784" t="s">
        <v>3983</v>
      </c>
      <c r="C784" t="s">
        <v>3336</v>
      </c>
      <c r="F784" t="s">
        <v>1259</v>
      </c>
    </row>
    <row r="785" spans="1:6" x14ac:dyDescent="0.25">
      <c r="A785" t="s">
        <v>3984</v>
      </c>
      <c r="C785" t="s">
        <v>3337</v>
      </c>
      <c r="F785" t="s">
        <v>1260</v>
      </c>
    </row>
    <row r="786" spans="1:6" x14ac:dyDescent="0.25">
      <c r="A786" t="s">
        <v>2158</v>
      </c>
      <c r="C786" t="s">
        <v>3338</v>
      </c>
      <c r="F786" t="s">
        <v>1261</v>
      </c>
    </row>
    <row r="787" spans="1:6" x14ac:dyDescent="0.25">
      <c r="A787" t="s">
        <v>439</v>
      </c>
      <c r="C787" t="s">
        <v>3339</v>
      </c>
      <c r="F787" t="s">
        <v>1262</v>
      </c>
    </row>
    <row r="788" spans="1:6" x14ac:dyDescent="0.25">
      <c r="A788" t="s">
        <v>1434</v>
      </c>
      <c r="C788" t="s">
        <v>3340</v>
      </c>
      <c r="F788" t="s">
        <v>1263</v>
      </c>
    </row>
    <row r="789" spans="1:6" x14ac:dyDescent="0.25">
      <c r="A789" t="s">
        <v>3985</v>
      </c>
      <c r="C789" t="s">
        <v>3341</v>
      </c>
      <c r="F789" t="s">
        <v>1264</v>
      </c>
    </row>
    <row r="790" spans="1:6" x14ac:dyDescent="0.25">
      <c r="A790" t="s">
        <v>69</v>
      </c>
      <c r="C790" t="s">
        <v>3342</v>
      </c>
      <c r="F790" t="s">
        <v>1265</v>
      </c>
    </row>
    <row r="791" spans="1:6" x14ac:dyDescent="0.25">
      <c r="A791" t="s">
        <v>1179</v>
      </c>
      <c r="C791" t="s">
        <v>3343</v>
      </c>
      <c r="F791" t="s">
        <v>1266</v>
      </c>
    </row>
    <row r="792" spans="1:6" x14ac:dyDescent="0.25">
      <c r="A792" t="s">
        <v>3986</v>
      </c>
      <c r="C792" t="s">
        <v>3344</v>
      </c>
      <c r="F792" t="s">
        <v>1267</v>
      </c>
    </row>
    <row r="793" spans="1:6" x14ac:dyDescent="0.25">
      <c r="A793" t="s">
        <v>3987</v>
      </c>
      <c r="C793" t="s">
        <v>980</v>
      </c>
      <c r="F793" t="s">
        <v>1268</v>
      </c>
    </row>
    <row r="794" spans="1:6" x14ac:dyDescent="0.25">
      <c r="A794" t="s">
        <v>3988</v>
      </c>
      <c r="C794" t="s">
        <v>3345</v>
      </c>
      <c r="F794" t="s">
        <v>1269</v>
      </c>
    </row>
    <row r="795" spans="1:6" x14ac:dyDescent="0.25">
      <c r="A795" t="s">
        <v>330</v>
      </c>
      <c r="C795" t="s">
        <v>3346</v>
      </c>
      <c r="F795" t="s">
        <v>1270</v>
      </c>
    </row>
    <row r="796" spans="1:6" x14ac:dyDescent="0.25">
      <c r="A796" t="s">
        <v>2636</v>
      </c>
      <c r="C796" t="s">
        <v>3347</v>
      </c>
      <c r="F796" t="s">
        <v>1271</v>
      </c>
    </row>
    <row r="797" spans="1:6" x14ac:dyDescent="0.25">
      <c r="A797" t="s">
        <v>100</v>
      </c>
      <c r="C797" t="s">
        <v>3348</v>
      </c>
      <c r="F797" t="s">
        <v>15</v>
      </c>
    </row>
    <row r="798" spans="1:6" x14ac:dyDescent="0.25">
      <c r="A798" t="s">
        <v>3989</v>
      </c>
      <c r="C798" t="s">
        <v>3349</v>
      </c>
      <c r="F798" t="s">
        <v>1272</v>
      </c>
    </row>
    <row r="799" spans="1:6" x14ac:dyDescent="0.25">
      <c r="A799" t="s">
        <v>743</v>
      </c>
      <c r="C799" t="s">
        <v>3350</v>
      </c>
      <c r="F799" t="s">
        <v>1273</v>
      </c>
    </row>
    <row r="800" spans="1:6" x14ac:dyDescent="0.25">
      <c r="A800" t="s">
        <v>94</v>
      </c>
      <c r="C800" t="s">
        <v>3351</v>
      </c>
      <c r="F800" t="s">
        <v>1274</v>
      </c>
    </row>
    <row r="801" spans="1:6" x14ac:dyDescent="0.25">
      <c r="A801" t="s">
        <v>3990</v>
      </c>
      <c r="C801" t="s">
        <v>3352</v>
      </c>
      <c r="F801" t="s">
        <v>1275</v>
      </c>
    </row>
    <row r="802" spans="1:6" x14ac:dyDescent="0.25">
      <c r="A802" t="s">
        <v>3991</v>
      </c>
      <c r="C802" t="s">
        <v>3353</v>
      </c>
      <c r="F802" t="s">
        <v>1276</v>
      </c>
    </row>
    <row r="803" spans="1:6" x14ac:dyDescent="0.25">
      <c r="A803" t="s">
        <v>3992</v>
      </c>
      <c r="C803" t="s">
        <v>3354</v>
      </c>
      <c r="F803" t="s">
        <v>1277</v>
      </c>
    </row>
    <row r="804" spans="1:6" x14ac:dyDescent="0.25">
      <c r="A804" t="s">
        <v>3993</v>
      </c>
      <c r="C804" t="s">
        <v>3355</v>
      </c>
      <c r="F804" t="s">
        <v>1278</v>
      </c>
    </row>
    <row r="805" spans="1:6" x14ac:dyDescent="0.25">
      <c r="A805" t="s">
        <v>3994</v>
      </c>
      <c r="C805" t="s">
        <v>3356</v>
      </c>
      <c r="F805" t="s">
        <v>1279</v>
      </c>
    </row>
    <row r="806" spans="1:6" x14ac:dyDescent="0.25">
      <c r="A806" t="s">
        <v>3995</v>
      </c>
      <c r="C806" t="s">
        <v>3357</v>
      </c>
      <c r="F806" t="s">
        <v>1280</v>
      </c>
    </row>
    <row r="807" spans="1:6" x14ac:dyDescent="0.25">
      <c r="A807" t="s">
        <v>1169</v>
      </c>
      <c r="C807" t="s">
        <v>3358</v>
      </c>
      <c r="F807" t="s">
        <v>1281</v>
      </c>
    </row>
    <row r="808" spans="1:6" x14ac:dyDescent="0.25">
      <c r="A808" t="s">
        <v>3996</v>
      </c>
      <c r="C808" t="s">
        <v>3359</v>
      </c>
      <c r="F808" t="s">
        <v>984</v>
      </c>
    </row>
    <row r="809" spans="1:6" x14ac:dyDescent="0.25">
      <c r="A809" t="s">
        <v>2290</v>
      </c>
      <c r="C809" t="s">
        <v>3360</v>
      </c>
      <c r="F809" t="s">
        <v>1282</v>
      </c>
    </row>
    <row r="810" spans="1:6" x14ac:dyDescent="0.25">
      <c r="A810" t="s">
        <v>62</v>
      </c>
      <c r="C810" t="s">
        <v>3361</v>
      </c>
      <c r="F810" t="s">
        <v>128</v>
      </c>
    </row>
    <row r="811" spans="1:6" x14ac:dyDescent="0.25">
      <c r="A811" t="s">
        <v>498</v>
      </c>
      <c r="C811" t="s">
        <v>3362</v>
      </c>
      <c r="F811" t="s">
        <v>1283</v>
      </c>
    </row>
    <row r="812" spans="1:6" x14ac:dyDescent="0.25">
      <c r="A812" t="s">
        <v>3997</v>
      </c>
      <c r="C812" t="s">
        <v>3363</v>
      </c>
      <c r="F812" t="s">
        <v>1284</v>
      </c>
    </row>
    <row r="813" spans="1:6" x14ac:dyDescent="0.25">
      <c r="A813" t="s">
        <v>3998</v>
      </c>
      <c r="C813" t="s">
        <v>3364</v>
      </c>
      <c r="F813" t="s">
        <v>1285</v>
      </c>
    </row>
    <row r="814" spans="1:6" x14ac:dyDescent="0.25">
      <c r="A814" t="s">
        <v>3999</v>
      </c>
      <c r="C814" t="s">
        <v>3365</v>
      </c>
      <c r="F814" t="s">
        <v>1286</v>
      </c>
    </row>
    <row r="815" spans="1:6" x14ac:dyDescent="0.25">
      <c r="A815" t="s">
        <v>2430</v>
      </c>
      <c r="C815" t="s">
        <v>3366</v>
      </c>
      <c r="F815" t="s">
        <v>24</v>
      </c>
    </row>
    <row r="816" spans="1:6" x14ac:dyDescent="0.25">
      <c r="A816" t="s">
        <v>4000</v>
      </c>
      <c r="C816" t="s">
        <v>3367</v>
      </c>
      <c r="F816" t="s">
        <v>1287</v>
      </c>
    </row>
    <row r="817" spans="1:6" x14ac:dyDescent="0.25">
      <c r="A817" t="s">
        <v>4001</v>
      </c>
      <c r="C817" t="s">
        <v>3368</v>
      </c>
      <c r="F817" t="s">
        <v>1288</v>
      </c>
    </row>
    <row r="818" spans="1:6" x14ac:dyDescent="0.25">
      <c r="A818" t="s">
        <v>4002</v>
      </c>
      <c r="C818" t="s">
        <v>3369</v>
      </c>
      <c r="F818" t="s">
        <v>1289</v>
      </c>
    </row>
    <row r="819" spans="1:6" x14ac:dyDescent="0.25">
      <c r="A819" t="s">
        <v>1607</v>
      </c>
      <c r="C819" t="s">
        <v>3370</v>
      </c>
      <c r="F819" t="s">
        <v>1290</v>
      </c>
    </row>
    <row r="820" spans="1:6" x14ac:dyDescent="0.25">
      <c r="A820" t="s">
        <v>4003</v>
      </c>
      <c r="C820" t="s">
        <v>3371</v>
      </c>
      <c r="F820" t="s">
        <v>1291</v>
      </c>
    </row>
    <row r="821" spans="1:6" x14ac:dyDescent="0.25">
      <c r="A821" t="s">
        <v>4004</v>
      </c>
      <c r="C821" t="s">
        <v>3372</v>
      </c>
      <c r="F821" t="s">
        <v>1292</v>
      </c>
    </row>
    <row r="822" spans="1:6" x14ac:dyDescent="0.25">
      <c r="A822" t="s">
        <v>4005</v>
      </c>
      <c r="C822" t="s">
        <v>3373</v>
      </c>
      <c r="F822" t="s">
        <v>1293</v>
      </c>
    </row>
    <row r="823" spans="1:6" x14ac:dyDescent="0.25">
      <c r="A823" t="s">
        <v>2465</v>
      </c>
      <c r="C823" t="s">
        <v>900</v>
      </c>
      <c r="F823" t="s">
        <v>1294</v>
      </c>
    </row>
    <row r="824" spans="1:6" x14ac:dyDescent="0.25">
      <c r="A824" t="s">
        <v>4006</v>
      </c>
      <c r="C824" t="s">
        <v>3374</v>
      </c>
      <c r="F824" t="s">
        <v>1295</v>
      </c>
    </row>
    <row r="825" spans="1:6" x14ac:dyDescent="0.25">
      <c r="A825" t="s">
        <v>4007</v>
      </c>
      <c r="C825" t="s">
        <v>3375</v>
      </c>
      <c r="F825" t="s">
        <v>1296</v>
      </c>
    </row>
    <row r="826" spans="1:6" x14ac:dyDescent="0.25">
      <c r="A826" t="s">
        <v>81</v>
      </c>
      <c r="C826" t="s">
        <v>3376</v>
      </c>
      <c r="F826" t="s">
        <v>1297</v>
      </c>
    </row>
    <row r="827" spans="1:6" x14ac:dyDescent="0.25">
      <c r="A827" t="s">
        <v>4008</v>
      </c>
      <c r="C827" t="s">
        <v>3377</v>
      </c>
      <c r="F827" t="s">
        <v>1298</v>
      </c>
    </row>
    <row r="828" spans="1:6" x14ac:dyDescent="0.25">
      <c r="A828" t="s">
        <v>4009</v>
      </c>
      <c r="C828" t="s">
        <v>3378</v>
      </c>
      <c r="F828" t="s">
        <v>1299</v>
      </c>
    </row>
    <row r="829" spans="1:6" x14ac:dyDescent="0.25">
      <c r="A829" t="s">
        <v>211</v>
      </c>
      <c r="C829" t="s">
        <v>117</v>
      </c>
      <c r="F829" t="s">
        <v>1300</v>
      </c>
    </row>
    <row r="830" spans="1:6" x14ac:dyDescent="0.25">
      <c r="A830" t="s">
        <v>85</v>
      </c>
      <c r="C830" t="s">
        <v>3379</v>
      </c>
      <c r="F830" t="s">
        <v>1301</v>
      </c>
    </row>
    <row r="831" spans="1:6" x14ac:dyDescent="0.25">
      <c r="A831" t="s">
        <v>4010</v>
      </c>
      <c r="C831" t="s">
        <v>3380</v>
      </c>
      <c r="F831" t="s">
        <v>1302</v>
      </c>
    </row>
    <row r="832" spans="1:6" x14ac:dyDescent="0.25">
      <c r="A832" t="s">
        <v>2649</v>
      </c>
      <c r="C832" t="s">
        <v>3381</v>
      </c>
      <c r="F832" t="s">
        <v>1303</v>
      </c>
    </row>
    <row r="833" spans="1:6" x14ac:dyDescent="0.25">
      <c r="A833" t="s">
        <v>4011</v>
      </c>
      <c r="C833" t="s">
        <v>3382</v>
      </c>
      <c r="F833" t="s">
        <v>1304</v>
      </c>
    </row>
    <row r="834" spans="1:6" x14ac:dyDescent="0.25">
      <c r="A834" t="s">
        <v>4012</v>
      </c>
      <c r="C834" t="s">
        <v>3383</v>
      </c>
      <c r="F834" t="s">
        <v>1305</v>
      </c>
    </row>
    <row r="835" spans="1:6" x14ac:dyDescent="0.25">
      <c r="A835" t="s">
        <v>1740</v>
      </c>
      <c r="C835" t="s">
        <v>3384</v>
      </c>
      <c r="F835" t="s">
        <v>1306</v>
      </c>
    </row>
    <row r="836" spans="1:6" x14ac:dyDescent="0.25">
      <c r="A836" t="s">
        <v>4013</v>
      </c>
      <c r="C836" t="s">
        <v>3385</v>
      </c>
      <c r="F836" t="s">
        <v>1307</v>
      </c>
    </row>
    <row r="837" spans="1:6" x14ac:dyDescent="0.25">
      <c r="A837" t="s">
        <v>219</v>
      </c>
      <c r="C837" t="s">
        <v>3386</v>
      </c>
      <c r="F837" t="s">
        <v>1308</v>
      </c>
    </row>
    <row r="838" spans="1:6" x14ac:dyDescent="0.25">
      <c r="A838" t="s">
        <v>612</v>
      </c>
      <c r="C838" t="s">
        <v>3387</v>
      </c>
      <c r="F838" t="s">
        <v>1309</v>
      </c>
    </row>
    <row r="839" spans="1:6" x14ac:dyDescent="0.25">
      <c r="A839" t="s">
        <v>4014</v>
      </c>
      <c r="C839" t="s">
        <v>3388</v>
      </c>
      <c r="F839" t="s">
        <v>1310</v>
      </c>
    </row>
    <row r="840" spans="1:6" x14ac:dyDescent="0.25">
      <c r="A840" t="s">
        <v>4015</v>
      </c>
      <c r="C840" t="s">
        <v>3389</v>
      </c>
      <c r="F840" t="s">
        <v>1311</v>
      </c>
    </row>
    <row r="841" spans="1:6" x14ac:dyDescent="0.25">
      <c r="A841" t="s">
        <v>4016</v>
      </c>
      <c r="C841" t="s">
        <v>3390</v>
      </c>
      <c r="F841" t="s">
        <v>1312</v>
      </c>
    </row>
    <row r="842" spans="1:6" x14ac:dyDescent="0.25">
      <c r="A842" t="s">
        <v>1173</v>
      </c>
      <c r="C842" t="s">
        <v>3391</v>
      </c>
      <c r="F842" t="s">
        <v>1313</v>
      </c>
    </row>
    <row r="843" spans="1:6" x14ac:dyDescent="0.25">
      <c r="A843" t="s">
        <v>4017</v>
      </c>
      <c r="C843" t="s">
        <v>2104</v>
      </c>
      <c r="F843" t="s">
        <v>1314</v>
      </c>
    </row>
    <row r="844" spans="1:6" x14ac:dyDescent="0.25">
      <c r="A844" t="s">
        <v>1324</v>
      </c>
      <c r="C844" t="s">
        <v>1104</v>
      </c>
      <c r="F844" t="s">
        <v>1315</v>
      </c>
    </row>
    <row r="845" spans="1:6" x14ac:dyDescent="0.25">
      <c r="A845" t="s">
        <v>13</v>
      </c>
      <c r="C845" t="s">
        <v>3392</v>
      </c>
      <c r="F845" t="s">
        <v>1316</v>
      </c>
    </row>
    <row r="846" spans="1:6" x14ac:dyDescent="0.25">
      <c r="A846" t="s">
        <v>4018</v>
      </c>
      <c r="C846" t="s">
        <v>3393</v>
      </c>
      <c r="F846" t="s">
        <v>1317</v>
      </c>
    </row>
    <row r="847" spans="1:6" x14ac:dyDescent="0.25">
      <c r="A847" t="s">
        <v>4019</v>
      </c>
      <c r="C847" t="s">
        <v>3394</v>
      </c>
      <c r="F847" t="s">
        <v>1318</v>
      </c>
    </row>
    <row r="848" spans="1:6" x14ac:dyDescent="0.25">
      <c r="A848" t="s">
        <v>4020</v>
      </c>
      <c r="C848" t="s">
        <v>3395</v>
      </c>
      <c r="F848" t="s">
        <v>1319</v>
      </c>
    </row>
    <row r="849" spans="1:6" x14ac:dyDescent="0.25">
      <c r="A849" t="s">
        <v>4021</v>
      </c>
      <c r="C849" t="s">
        <v>3396</v>
      </c>
      <c r="F849" t="s">
        <v>26</v>
      </c>
    </row>
    <row r="850" spans="1:6" x14ac:dyDescent="0.25">
      <c r="A850" t="s">
        <v>4022</v>
      </c>
      <c r="C850" t="s">
        <v>3397</v>
      </c>
      <c r="F850" t="s">
        <v>1320</v>
      </c>
    </row>
    <row r="851" spans="1:6" x14ac:dyDescent="0.25">
      <c r="A851" t="s">
        <v>2173</v>
      </c>
      <c r="C851" t="s">
        <v>3398</v>
      </c>
      <c r="F851" t="s">
        <v>1321</v>
      </c>
    </row>
    <row r="852" spans="1:6" x14ac:dyDescent="0.25">
      <c r="A852" t="s">
        <v>4023</v>
      </c>
      <c r="C852" t="s">
        <v>3399</v>
      </c>
      <c r="F852" t="s">
        <v>1322</v>
      </c>
    </row>
    <row r="853" spans="1:6" x14ac:dyDescent="0.25">
      <c r="A853" t="s">
        <v>4024</v>
      </c>
      <c r="C853" t="s">
        <v>3400</v>
      </c>
      <c r="F853" t="s">
        <v>1323</v>
      </c>
    </row>
    <row r="854" spans="1:6" x14ac:dyDescent="0.25">
      <c r="A854" t="s">
        <v>1143</v>
      </c>
      <c r="C854" t="s">
        <v>3401</v>
      </c>
      <c r="F854" t="s">
        <v>1324</v>
      </c>
    </row>
    <row r="855" spans="1:6" x14ac:dyDescent="0.25">
      <c r="A855" t="s">
        <v>1338</v>
      </c>
      <c r="C855" t="s">
        <v>3402</v>
      </c>
      <c r="F855" t="s">
        <v>1325</v>
      </c>
    </row>
    <row r="856" spans="1:6" x14ac:dyDescent="0.25">
      <c r="A856" t="s">
        <v>4025</v>
      </c>
      <c r="C856" t="s">
        <v>3403</v>
      </c>
      <c r="F856" t="s">
        <v>1326</v>
      </c>
    </row>
    <row r="857" spans="1:6" x14ac:dyDescent="0.25">
      <c r="A857" t="s">
        <v>4026</v>
      </c>
      <c r="C857" t="s">
        <v>1155</v>
      </c>
      <c r="F857" t="s">
        <v>1327</v>
      </c>
    </row>
    <row r="858" spans="1:6" x14ac:dyDescent="0.25">
      <c r="A858" t="s">
        <v>1781</v>
      </c>
      <c r="C858" t="s">
        <v>3404</v>
      </c>
      <c r="F858" t="s">
        <v>1328</v>
      </c>
    </row>
    <row r="859" spans="1:6" x14ac:dyDescent="0.25">
      <c r="A859" t="s">
        <v>4027</v>
      </c>
      <c r="C859" t="s">
        <v>3405</v>
      </c>
      <c r="F859" t="s">
        <v>1329</v>
      </c>
    </row>
    <row r="860" spans="1:6" x14ac:dyDescent="0.25">
      <c r="A860" t="s">
        <v>4028</v>
      </c>
      <c r="C860" t="s">
        <v>3406</v>
      </c>
      <c r="F860" t="s">
        <v>1330</v>
      </c>
    </row>
    <row r="861" spans="1:6" x14ac:dyDescent="0.25">
      <c r="A861" t="s">
        <v>4029</v>
      </c>
      <c r="C861" t="s">
        <v>3407</v>
      </c>
      <c r="F861" t="s">
        <v>1331</v>
      </c>
    </row>
    <row r="862" spans="1:6" x14ac:dyDescent="0.25">
      <c r="A862" t="s">
        <v>4030</v>
      </c>
      <c r="C862" t="s">
        <v>3408</v>
      </c>
      <c r="F862" t="s">
        <v>1332</v>
      </c>
    </row>
    <row r="863" spans="1:6" x14ac:dyDescent="0.25">
      <c r="A863" t="s">
        <v>4031</v>
      </c>
      <c r="C863" t="s">
        <v>3409</v>
      </c>
      <c r="F863" t="s">
        <v>1333</v>
      </c>
    </row>
    <row r="864" spans="1:6" x14ac:dyDescent="0.25">
      <c r="A864" t="s">
        <v>4032</v>
      </c>
      <c r="C864" t="s">
        <v>3410</v>
      </c>
      <c r="F864" t="s">
        <v>1334</v>
      </c>
    </row>
    <row r="865" spans="1:6" x14ac:dyDescent="0.25">
      <c r="A865" t="s">
        <v>1637</v>
      </c>
      <c r="C865" t="s">
        <v>3411</v>
      </c>
      <c r="F865" t="s">
        <v>183</v>
      </c>
    </row>
    <row r="866" spans="1:6" x14ac:dyDescent="0.25">
      <c r="A866" t="s">
        <v>43</v>
      </c>
      <c r="C866" t="s">
        <v>1020</v>
      </c>
      <c r="F866" t="s">
        <v>1335</v>
      </c>
    </row>
    <row r="867" spans="1:6" x14ac:dyDescent="0.25">
      <c r="A867" t="s">
        <v>4033</v>
      </c>
      <c r="C867" t="s">
        <v>3412</v>
      </c>
      <c r="F867" t="s">
        <v>1336</v>
      </c>
    </row>
    <row r="868" spans="1:6" x14ac:dyDescent="0.25">
      <c r="A868" t="s">
        <v>4034</v>
      </c>
      <c r="C868" t="s">
        <v>3413</v>
      </c>
      <c r="F868" t="s">
        <v>1337</v>
      </c>
    </row>
    <row r="869" spans="1:6" x14ac:dyDescent="0.25">
      <c r="A869" t="s">
        <v>4035</v>
      </c>
      <c r="C869" t="s">
        <v>3414</v>
      </c>
      <c r="F869" t="s">
        <v>1338</v>
      </c>
    </row>
    <row r="870" spans="1:6" x14ac:dyDescent="0.25">
      <c r="A870" t="s">
        <v>4036</v>
      </c>
      <c r="C870" t="s">
        <v>3415</v>
      </c>
      <c r="F870" t="s">
        <v>1339</v>
      </c>
    </row>
    <row r="871" spans="1:6" x14ac:dyDescent="0.25">
      <c r="A871" t="s">
        <v>4037</v>
      </c>
      <c r="C871" t="s">
        <v>3416</v>
      </c>
      <c r="F871" t="s">
        <v>1340</v>
      </c>
    </row>
    <row r="872" spans="1:6" x14ac:dyDescent="0.25">
      <c r="A872" t="s">
        <v>4038</v>
      </c>
      <c r="C872" t="s">
        <v>1908</v>
      </c>
      <c r="F872" t="s">
        <v>1341</v>
      </c>
    </row>
    <row r="873" spans="1:6" x14ac:dyDescent="0.25">
      <c r="A873" t="s">
        <v>1990</v>
      </c>
      <c r="C873" t="s">
        <v>3417</v>
      </c>
      <c r="F873" t="s">
        <v>1342</v>
      </c>
    </row>
    <row r="874" spans="1:6" x14ac:dyDescent="0.25">
      <c r="A874" t="s">
        <v>4039</v>
      </c>
      <c r="C874" t="s">
        <v>3418</v>
      </c>
      <c r="F874" t="s">
        <v>1343</v>
      </c>
    </row>
    <row r="875" spans="1:6" x14ac:dyDescent="0.25">
      <c r="A875" t="s">
        <v>4040</v>
      </c>
      <c r="C875" t="s">
        <v>3419</v>
      </c>
      <c r="F875" t="s">
        <v>1344</v>
      </c>
    </row>
    <row r="876" spans="1:6" x14ac:dyDescent="0.25">
      <c r="A876" t="s">
        <v>4041</v>
      </c>
      <c r="C876" t="s">
        <v>3420</v>
      </c>
      <c r="F876" t="s">
        <v>1345</v>
      </c>
    </row>
    <row r="877" spans="1:6" x14ac:dyDescent="0.25">
      <c r="A877" t="s">
        <v>233</v>
      </c>
      <c r="C877" t="s">
        <v>3421</v>
      </c>
      <c r="F877" t="s">
        <v>1346</v>
      </c>
    </row>
    <row r="878" spans="1:6" x14ac:dyDescent="0.25">
      <c r="A878" t="s">
        <v>1658</v>
      </c>
      <c r="C878" t="s">
        <v>3422</v>
      </c>
      <c r="F878" t="s">
        <v>1347</v>
      </c>
    </row>
    <row r="879" spans="1:6" x14ac:dyDescent="0.25">
      <c r="A879" t="s">
        <v>4042</v>
      </c>
      <c r="C879" t="s">
        <v>3423</v>
      </c>
      <c r="F879" t="s">
        <v>1348</v>
      </c>
    </row>
    <row r="880" spans="1:6" x14ac:dyDescent="0.25">
      <c r="A880" t="s">
        <v>4043</v>
      </c>
      <c r="C880" t="s">
        <v>3424</v>
      </c>
      <c r="F880" t="s">
        <v>1349</v>
      </c>
    </row>
    <row r="881" spans="1:6" x14ac:dyDescent="0.25">
      <c r="A881" t="s">
        <v>4044</v>
      </c>
      <c r="C881" t="s">
        <v>3425</v>
      </c>
      <c r="F881" t="s">
        <v>1350</v>
      </c>
    </row>
    <row r="882" spans="1:6" x14ac:dyDescent="0.25">
      <c r="A882" t="s">
        <v>4045</v>
      </c>
      <c r="C882" t="s">
        <v>3426</v>
      </c>
      <c r="F882" t="s">
        <v>1351</v>
      </c>
    </row>
    <row r="883" spans="1:6" x14ac:dyDescent="0.25">
      <c r="A883" t="s">
        <v>2571</v>
      </c>
      <c r="C883" t="s">
        <v>3427</v>
      </c>
      <c r="F883" t="s">
        <v>1352</v>
      </c>
    </row>
    <row r="884" spans="1:6" x14ac:dyDescent="0.25">
      <c r="A884" t="s">
        <v>4046</v>
      </c>
      <c r="C884" t="s">
        <v>1023</v>
      </c>
      <c r="F884" t="s">
        <v>1353</v>
      </c>
    </row>
    <row r="885" spans="1:6" x14ac:dyDescent="0.25">
      <c r="A885" t="s">
        <v>4047</v>
      </c>
      <c r="C885" t="s">
        <v>3428</v>
      </c>
      <c r="F885" t="s">
        <v>1354</v>
      </c>
    </row>
    <row r="886" spans="1:6" x14ac:dyDescent="0.25">
      <c r="A886" t="s">
        <v>1574</v>
      </c>
      <c r="C886" t="s">
        <v>3429</v>
      </c>
      <c r="F886" t="s">
        <v>1355</v>
      </c>
    </row>
    <row r="887" spans="1:6" x14ac:dyDescent="0.25">
      <c r="A887" t="s">
        <v>4048</v>
      </c>
      <c r="C887" t="s">
        <v>3430</v>
      </c>
      <c r="F887" t="s">
        <v>1356</v>
      </c>
    </row>
    <row r="888" spans="1:6" x14ac:dyDescent="0.25">
      <c r="A888" t="s">
        <v>4049</v>
      </c>
      <c r="C888" t="s">
        <v>3431</v>
      </c>
      <c r="F888" t="s">
        <v>1357</v>
      </c>
    </row>
    <row r="889" spans="1:6" x14ac:dyDescent="0.25">
      <c r="A889" t="s">
        <v>10</v>
      </c>
      <c r="C889" t="s">
        <v>3432</v>
      </c>
      <c r="F889" t="s">
        <v>1358</v>
      </c>
    </row>
    <row r="890" spans="1:6" x14ac:dyDescent="0.25">
      <c r="A890" t="s">
        <v>4050</v>
      </c>
      <c r="C890" t="s">
        <v>3433</v>
      </c>
      <c r="F890" t="s">
        <v>1359</v>
      </c>
    </row>
    <row r="891" spans="1:6" x14ac:dyDescent="0.25">
      <c r="A891" t="s">
        <v>4051</v>
      </c>
      <c r="C891" t="s">
        <v>3434</v>
      </c>
      <c r="F891" t="s">
        <v>1360</v>
      </c>
    </row>
    <row r="892" spans="1:6" x14ac:dyDescent="0.25">
      <c r="A892" t="s">
        <v>4052</v>
      </c>
      <c r="C892" t="s">
        <v>3435</v>
      </c>
      <c r="F892" t="s">
        <v>1361</v>
      </c>
    </row>
    <row r="893" spans="1:6" x14ac:dyDescent="0.25">
      <c r="A893" t="s">
        <v>4053</v>
      </c>
      <c r="C893" t="s">
        <v>3436</v>
      </c>
      <c r="F893" t="s">
        <v>1362</v>
      </c>
    </row>
    <row r="894" spans="1:6" x14ac:dyDescent="0.25">
      <c r="A894" t="s">
        <v>342</v>
      </c>
      <c r="C894" t="s">
        <v>3437</v>
      </c>
      <c r="F894" t="s">
        <v>1363</v>
      </c>
    </row>
    <row r="895" spans="1:6" x14ac:dyDescent="0.25">
      <c r="A895" t="s">
        <v>4054</v>
      </c>
      <c r="C895" t="s">
        <v>3438</v>
      </c>
      <c r="F895" t="s">
        <v>170</v>
      </c>
    </row>
    <row r="896" spans="1:6" x14ac:dyDescent="0.25">
      <c r="A896" t="s">
        <v>4055</v>
      </c>
      <c r="C896" t="s">
        <v>3439</v>
      </c>
      <c r="F896" t="s">
        <v>1364</v>
      </c>
    </row>
    <row r="897" spans="1:6" x14ac:dyDescent="0.25">
      <c r="A897" t="s">
        <v>2681</v>
      </c>
      <c r="C897" t="s">
        <v>3440</v>
      </c>
      <c r="F897" t="s">
        <v>1365</v>
      </c>
    </row>
    <row r="898" spans="1:6" x14ac:dyDescent="0.25">
      <c r="A898" t="s">
        <v>4056</v>
      </c>
      <c r="C898" t="s">
        <v>3441</v>
      </c>
      <c r="F898" t="s">
        <v>1366</v>
      </c>
    </row>
    <row r="899" spans="1:6" x14ac:dyDescent="0.25">
      <c r="A899" t="s">
        <v>751</v>
      </c>
      <c r="C899" t="s">
        <v>3442</v>
      </c>
      <c r="F899" t="s">
        <v>1367</v>
      </c>
    </row>
    <row r="900" spans="1:6" x14ac:dyDescent="0.25">
      <c r="A900" t="s">
        <v>4057</v>
      </c>
      <c r="C900" t="s">
        <v>3443</v>
      </c>
      <c r="F900" t="s">
        <v>1368</v>
      </c>
    </row>
    <row r="901" spans="1:6" x14ac:dyDescent="0.25">
      <c r="A901" t="s">
        <v>4058</v>
      </c>
      <c r="C901" t="s">
        <v>3444</v>
      </c>
      <c r="F901" t="s">
        <v>1369</v>
      </c>
    </row>
    <row r="902" spans="1:6" x14ac:dyDescent="0.25">
      <c r="A902" t="s">
        <v>4059</v>
      </c>
      <c r="C902" t="s">
        <v>3445</v>
      </c>
      <c r="F902" t="s">
        <v>1370</v>
      </c>
    </row>
    <row r="903" spans="1:6" x14ac:dyDescent="0.25">
      <c r="A903" t="s">
        <v>4060</v>
      </c>
      <c r="C903" t="s">
        <v>3446</v>
      </c>
      <c r="F903" t="s">
        <v>1371</v>
      </c>
    </row>
    <row r="904" spans="1:6" x14ac:dyDescent="0.25">
      <c r="A904" t="s">
        <v>1359</v>
      </c>
      <c r="C904" t="s">
        <v>3447</v>
      </c>
      <c r="F904" t="s">
        <v>1372</v>
      </c>
    </row>
    <row r="905" spans="1:6" x14ac:dyDescent="0.25">
      <c r="A905" t="s">
        <v>4061</v>
      </c>
      <c r="C905" t="s">
        <v>3448</v>
      </c>
      <c r="F905" t="s">
        <v>1373</v>
      </c>
    </row>
    <row r="906" spans="1:6" x14ac:dyDescent="0.25">
      <c r="A906" t="s">
        <v>4062</v>
      </c>
      <c r="C906" t="s">
        <v>3449</v>
      </c>
      <c r="F906" t="s">
        <v>1374</v>
      </c>
    </row>
    <row r="907" spans="1:6" x14ac:dyDescent="0.25">
      <c r="A907" t="s">
        <v>4063</v>
      </c>
      <c r="C907" t="s">
        <v>3450</v>
      </c>
      <c r="F907" t="s">
        <v>1375</v>
      </c>
    </row>
    <row r="908" spans="1:6" x14ac:dyDescent="0.25">
      <c r="A908" t="s">
        <v>4064</v>
      </c>
      <c r="C908" t="s">
        <v>3451</v>
      </c>
      <c r="F908" t="s">
        <v>1376</v>
      </c>
    </row>
    <row r="909" spans="1:6" x14ac:dyDescent="0.25">
      <c r="A909" t="s">
        <v>4065</v>
      </c>
      <c r="C909" t="s">
        <v>3452</v>
      </c>
      <c r="F909" t="s">
        <v>1377</v>
      </c>
    </row>
    <row r="910" spans="1:6" x14ac:dyDescent="0.25">
      <c r="A910" t="s">
        <v>224</v>
      </c>
      <c r="C910" t="s">
        <v>3453</v>
      </c>
      <c r="F910" t="s">
        <v>1378</v>
      </c>
    </row>
    <row r="911" spans="1:6" x14ac:dyDescent="0.25">
      <c r="A911" t="s">
        <v>4066</v>
      </c>
      <c r="C911" t="s">
        <v>3454</v>
      </c>
      <c r="F911" t="s">
        <v>1379</v>
      </c>
    </row>
    <row r="912" spans="1:6" x14ac:dyDescent="0.25">
      <c r="A912" t="s">
        <v>4067</v>
      </c>
      <c r="C912" t="s">
        <v>3455</v>
      </c>
      <c r="F912" t="s">
        <v>1380</v>
      </c>
    </row>
    <row r="913" spans="1:6" x14ac:dyDescent="0.25">
      <c r="A913" t="s">
        <v>4068</v>
      </c>
      <c r="C913" t="s">
        <v>3456</v>
      </c>
      <c r="F913" t="s">
        <v>1381</v>
      </c>
    </row>
    <row r="914" spans="1:6" x14ac:dyDescent="0.25">
      <c r="A914" t="s">
        <v>4069</v>
      </c>
      <c r="C914" t="s">
        <v>3457</v>
      </c>
      <c r="F914" t="s">
        <v>1382</v>
      </c>
    </row>
    <row r="915" spans="1:6" x14ac:dyDescent="0.25">
      <c r="A915" t="s">
        <v>4070</v>
      </c>
      <c r="C915" t="s">
        <v>3458</v>
      </c>
      <c r="F915" t="s">
        <v>1383</v>
      </c>
    </row>
    <row r="916" spans="1:6" x14ac:dyDescent="0.25">
      <c r="A916" t="s">
        <v>4071</v>
      </c>
      <c r="C916" t="s">
        <v>3459</v>
      </c>
      <c r="F916" t="s">
        <v>1384</v>
      </c>
    </row>
    <row r="917" spans="1:6" x14ac:dyDescent="0.25">
      <c r="A917" t="s">
        <v>4072</v>
      </c>
      <c r="C917" t="s">
        <v>3460</v>
      </c>
      <c r="F917" t="s">
        <v>1385</v>
      </c>
    </row>
    <row r="918" spans="1:6" x14ac:dyDescent="0.25">
      <c r="A918" t="s">
        <v>4073</v>
      </c>
      <c r="C918" t="s">
        <v>3461</v>
      </c>
      <c r="F918" t="s">
        <v>1386</v>
      </c>
    </row>
    <row r="919" spans="1:6" x14ac:dyDescent="0.25">
      <c r="A919" t="s">
        <v>102</v>
      </c>
      <c r="C919" t="s">
        <v>3462</v>
      </c>
      <c r="F919" t="s">
        <v>1387</v>
      </c>
    </row>
    <row r="920" spans="1:6" x14ac:dyDescent="0.25">
      <c r="A920" t="s">
        <v>4074</v>
      </c>
      <c r="C920" t="s">
        <v>3463</v>
      </c>
      <c r="F920" t="s">
        <v>18</v>
      </c>
    </row>
    <row r="921" spans="1:6" x14ac:dyDescent="0.25">
      <c r="A921" t="s">
        <v>2361</v>
      </c>
      <c r="C921" t="s">
        <v>2282</v>
      </c>
      <c r="F921" t="s">
        <v>1388</v>
      </c>
    </row>
    <row r="922" spans="1:6" x14ac:dyDescent="0.25">
      <c r="A922" t="s">
        <v>4075</v>
      </c>
      <c r="C922" t="s">
        <v>3464</v>
      </c>
      <c r="F922" t="s">
        <v>1389</v>
      </c>
    </row>
    <row r="923" spans="1:6" x14ac:dyDescent="0.25">
      <c r="A923" t="s">
        <v>4076</v>
      </c>
      <c r="C923" t="s">
        <v>3465</v>
      </c>
      <c r="F923" t="s">
        <v>1390</v>
      </c>
    </row>
    <row r="924" spans="1:6" x14ac:dyDescent="0.25">
      <c r="A924" t="s">
        <v>4077</v>
      </c>
      <c r="C924" t="s">
        <v>3466</v>
      </c>
      <c r="F924" t="s">
        <v>106</v>
      </c>
    </row>
    <row r="925" spans="1:6" x14ac:dyDescent="0.25">
      <c r="A925" t="s">
        <v>411</v>
      </c>
      <c r="C925" t="s">
        <v>3467</v>
      </c>
      <c r="F925" t="s">
        <v>1391</v>
      </c>
    </row>
    <row r="926" spans="1:6" x14ac:dyDescent="0.25">
      <c r="A926" t="s">
        <v>1857</v>
      </c>
      <c r="C926" t="s">
        <v>3468</v>
      </c>
      <c r="F926" t="s">
        <v>30</v>
      </c>
    </row>
    <row r="927" spans="1:6" x14ac:dyDescent="0.25">
      <c r="A927" t="s">
        <v>4078</v>
      </c>
      <c r="C927" t="s">
        <v>3469</v>
      </c>
      <c r="F927" t="s">
        <v>1392</v>
      </c>
    </row>
    <row r="928" spans="1:6" x14ac:dyDescent="0.25">
      <c r="A928" t="s">
        <v>4079</v>
      </c>
      <c r="C928" t="s">
        <v>3470</v>
      </c>
      <c r="F928" t="s">
        <v>143</v>
      </c>
    </row>
    <row r="929" spans="1:6" x14ac:dyDescent="0.25">
      <c r="A929" t="s">
        <v>4080</v>
      </c>
      <c r="C929" t="s">
        <v>3471</v>
      </c>
      <c r="F929" t="s">
        <v>196</v>
      </c>
    </row>
    <row r="930" spans="1:6" x14ac:dyDescent="0.25">
      <c r="A930" t="s">
        <v>4081</v>
      </c>
      <c r="C930" t="s">
        <v>3472</v>
      </c>
      <c r="F930" t="s">
        <v>1393</v>
      </c>
    </row>
    <row r="931" spans="1:6" x14ac:dyDescent="0.25">
      <c r="A931" t="s">
        <v>4082</v>
      </c>
      <c r="C931" t="s">
        <v>3473</v>
      </c>
      <c r="F931" t="s">
        <v>1394</v>
      </c>
    </row>
    <row r="932" spans="1:6" x14ac:dyDescent="0.25">
      <c r="A932" t="s">
        <v>4083</v>
      </c>
      <c r="C932" t="s">
        <v>3474</v>
      </c>
      <c r="F932" t="s">
        <v>1395</v>
      </c>
    </row>
    <row r="933" spans="1:6" x14ac:dyDescent="0.25">
      <c r="A933" t="s">
        <v>4084</v>
      </c>
      <c r="C933" t="s">
        <v>3475</v>
      </c>
      <c r="F933" t="s">
        <v>1396</v>
      </c>
    </row>
    <row r="934" spans="1:6" x14ac:dyDescent="0.25">
      <c r="A934" t="s">
        <v>4085</v>
      </c>
      <c r="C934" t="s">
        <v>960</v>
      </c>
      <c r="F934" t="s">
        <v>1397</v>
      </c>
    </row>
    <row r="935" spans="1:6" x14ac:dyDescent="0.25">
      <c r="A935" t="s">
        <v>4086</v>
      </c>
      <c r="C935" t="s">
        <v>3476</v>
      </c>
      <c r="F935" t="s">
        <v>1398</v>
      </c>
    </row>
    <row r="936" spans="1:6" x14ac:dyDescent="0.25">
      <c r="A936" t="s">
        <v>4087</v>
      </c>
      <c r="C936" t="s">
        <v>3477</v>
      </c>
      <c r="F936" t="s">
        <v>1399</v>
      </c>
    </row>
    <row r="937" spans="1:6" x14ac:dyDescent="0.25">
      <c r="A937" t="s">
        <v>221</v>
      </c>
      <c r="C937" t="s">
        <v>3478</v>
      </c>
      <c r="F937" t="s">
        <v>1400</v>
      </c>
    </row>
    <row r="938" spans="1:6" x14ac:dyDescent="0.25">
      <c r="A938" t="s">
        <v>4088</v>
      </c>
      <c r="C938" t="s">
        <v>3479</v>
      </c>
      <c r="F938" t="s">
        <v>1401</v>
      </c>
    </row>
    <row r="939" spans="1:6" x14ac:dyDescent="0.25">
      <c r="A939" t="s">
        <v>4089</v>
      </c>
      <c r="C939" t="s">
        <v>3480</v>
      </c>
      <c r="F939" t="s">
        <v>1402</v>
      </c>
    </row>
    <row r="940" spans="1:6" x14ac:dyDescent="0.25">
      <c r="A940" t="s">
        <v>4090</v>
      </c>
      <c r="C940" t="s">
        <v>3481</v>
      </c>
      <c r="F940" t="s">
        <v>1403</v>
      </c>
    </row>
    <row r="941" spans="1:6" x14ac:dyDescent="0.25">
      <c r="A941" t="s">
        <v>4091</v>
      </c>
      <c r="C941" t="s">
        <v>3482</v>
      </c>
      <c r="F941" t="s">
        <v>1404</v>
      </c>
    </row>
    <row r="942" spans="1:6" x14ac:dyDescent="0.25">
      <c r="A942" t="s">
        <v>4092</v>
      </c>
      <c r="C942" t="s">
        <v>3483</v>
      </c>
      <c r="F942" t="s">
        <v>58</v>
      </c>
    </row>
    <row r="943" spans="1:6" x14ac:dyDescent="0.25">
      <c r="A943" t="s">
        <v>4093</v>
      </c>
      <c r="C943" t="s">
        <v>3484</v>
      </c>
      <c r="F943" t="s">
        <v>1405</v>
      </c>
    </row>
    <row r="944" spans="1:6" x14ac:dyDescent="0.25">
      <c r="A944" t="s">
        <v>4094</v>
      </c>
      <c r="C944" t="s">
        <v>3485</v>
      </c>
      <c r="F944" t="s">
        <v>1406</v>
      </c>
    </row>
    <row r="945" spans="1:6" x14ac:dyDescent="0.25">
      <c r="A945" t="s">
        <v>4095</v>
      </c>
      <c r="C945" t="s">
        <v>3486</v>
      </c>
      <c r="F945" t="s">
        <v>1407</v>
      </c>
    </row>
    <row r="946" spans="1:6" x14ac:dyDescent="0.25">
      <c r="A946" t="s">
        <v>4096</v>
      </c>
      <c r="C946" t="s">
        <v>3487</v>
      </c>
      <c r="F946" t="s">
        <v>8</v>
      </c>
    </row>
    <row r="947" spans="1:6" x14ac:dyDescent="0.25">
      <c r="A947" t="s">
        <v>1452</v>
      </c>
      <c r="C947" t="s">
        <v>865</v>
      </c>
      <c r="F947" t="s">
        <v>1408</v>
      </c>
    </row>
    <row r="948" spans="1:6" x14ac:dyDescent="0.25">
      <c r="A948" t="s">
        <v>1229</v>
      </c>
      <c r="C948" t="s">
        <v>3488</v>
      </c>
      <c r="F948" t="s">
        <v>1409</v>
      </c>
    </row>
    <row r="949" spans="1:6" x14ac:dyDescent="0.25">
      <c r="A949" t="s">
        <v>4097</v>
      </c>
      <c r="C949" t="s">
        <v>3489</v>
      </c>
      <c r="F949" t="s">
        <v>1410</v>
      </c>
    </row>
    <row r="950" spans="1:6" x14ac:dyDescent="0.25">
      <c r="A950" t="s">
        <v>4098</v>
      </c>
      <c r="C950" t="s">
        <v>3490</v>
      </c>
      <c r="F950" t="s">
        <v>1411</v>
      </c>
    </row>
    <row r="951" spans="1:6" x14ac:dyDescent="0.25">
      <c r="A951" t="s">
        <v>4099</v>
      </c>
      <c r="C951" t="s">
        <v>2720</v>
      </c>
      <c r="F951" t="s">
        <v>1412</v>
      </c>
    </row>
    <row r="952" spans="1:6" x14ac:dyDescent="0.25">
      <c r="A952" t="s">
        <v>212</v>
      </c>
      <c r="C952" t="s">
        <v>3491</v>
      </c>
      <c r="F952" t="s">
        <v>1413</v>
      </c>
    </row>
    <row r="953" spans="1:6" x14ac:dyDescent="0.25">
      <c r="A953" t="s">
        <v>1796</v>
      </c>
      <c r="C953" t="s">
        <v>3492</v>
      </c>
      <c r="F953" t="s">
        <v>1414</v>
      </c>
    </row>
    <row r="954" spans="1:6" x14ac:dyDescent="0.25">
      <c r="A954" t="s">
        <v>1071</v>
      </c>
      <c r="C954" t="s">
        <v>3493</v>
      </c>
      <c r="F954" t="s">
        <v>1415</v>
      </c>
    </row>
    <row r="955" spans="1:6" x14ac:dyDescent="0.25">
      <c r="A955" t="s">
        <v>2743</v>
      </c>
      <c r="C955" t="s">
        <v>3494</v>
      </c>
      <c r="F955" t="s">
        <v>1416</v>
      </c>
    </row>
    <row r="956" spans="1:6" x14ac:dyDescent="0.25">
      <c r="A956" t="s">
        <v>27</v>
      </c>
      <c r="C956" t="s">
        <v>3495</v>
      </c>
      <c r="F956" t="s">
        <v>1417</v>
      </c>
    </row>
    <row r="957" spans="1:6" x14ac:dyDescent="0.25">
      <c r="A957" t="s">
        <v>4100</v>
      </c>
      <c r="C957" t="s">
        <v>3496</v>
      </c>
      <c r="F957" t="s">
        <v>1418</v>
      </c>
    </row>
    <row r="958" spans="1:6" x14ac:dyDescent="0.25">
      <c r="A958" t="s">
        <v>4101</v>
      </c>
      <c r="C958" t="s">
        <v>164</v>
      </c>
      <c r="F958" t="s">
        <v>1419</v>
      </c>
    </row>
    <row r="959" spans="1:6" x14ac:dyDescent="0.25">
      <c r="A959" t="s">
        <v>4102</v>
      </c>
      <c r="C959" t="s">
        <v>3497</v>
      </c>
      <c r="F959" t="s">
        <v>1420</v>
      </c>
    </row>
    <row r="960" spans="1:6" x14ac:dyDescent="0.25">
      <c r="A960" t="s">
        <v>4103</v>
      </c>
      <c r="C960" t="s">
        <v>3498</v>
      </c>
      <c r="F960" t="s">
        <v>1421</v>
      </c>
    </row>
    <row r="961" spans="1:6" x14ac:dyDescent="0.25">
      <c r="A961" t="s">
        <v>4103</v>
      </c>
      <c r="C961" t="s">
        <v>3499</v>
      </c>
      <c r="F961" t="s">
        <v>1422</v>
      </c>
    </row>
    <row r="962" spans="1:6" x14ac:dyDescent="0.25">
      <c r="A962" t="s">
        <v>4103</v>
      </c>
      <c r="C962" t="s">
        <v>3500</v>
      </c>
      <c r="F962" t="s">
        <v>1423</v>
      </c>
    </row>
    <row r="963" spans="1:6" x14ac:dyDescent="0.25">
      <c r="A963" t="s">
        <v>4103</v>
      </c>
      <c r="C963" t="s">
        <v>3501</v>
      </c>
      <c r="F963" t="s">
        <v>1424</v>
      </c>
    </row>
    <row r="964" spans="1:6" x14ac:dyDescent="0.25">
      <c r="A964" t="s">
        <v>4103</v>
      </c>
      <c r="C964" t="s">
        <v>3502</v>
      </c>
      <c r="F964" t="s">
        <v>1425</v>
      </c>
    </row>
    <row r="965" spans="1:6" x14ac:dyDescent="0.25">
      <c r="A965" t="s">
        <v>4103</v>
      </c>
      <c r="C965" t="s">
        <v>3503</v>
      </c>
      <c r="F965" t="s">
        <v>882</v>
      </c>
    </row>
    <row r="966" spans="1:6" x14ac:dyDescent="0.25">
      <c r="A966" t="s">
        <v>4103</v>
      </c>
      <c r="C966" t="s">
        <v>3504</v>
      </c>
      <c r="F966" t="s">
        <v>1426</v>
      </c>
    </row>
    <row r="967" spans="1:6" x14ac:dyDescent="0.25">
      <c r="A967" t="s">
        <v>4103</v>
      </c>
      <c r="C967" t="s">
        <v>3505</v>
      </c>
      <c r="F967" t="s">
        <v>1427</v>
      </c>
    </row>
    <row r="968" spans="1:6" x14ac:dyDescent="0.25">
      <c r="A968" t="s">
        <v>4103</v>
      </c>
      <c r="C968" t="s">
        <v>3506</v>
      </c>
      <c r="F968" t="s">
        <v>1428</v>
      </c>
    </row>
    <row r="969" spans="1:6" x14ac:dyDescent="0.25">
      <c r="A969" t="s">
        <v>4103</v>
      </c>
      <c r="C969" t="s">
        <v>3507</v>
      </c>
      <c r="F969" t="s">
        <v>1429</v>
      </c>
    </row>
    <row r="970" spans="1:6" x14ac:dyDescent="0.25">
      <c r="A970" t="s">
        <v>4103</v>
      </c>
      <c r="C970" t="s">
        <v>3508</v>
      </c>
      <c r="F970" t="s">
        <v>1430</v>
      </c>
    </row>
    <row r="971" spans="1:6" x14ac:dyDescent="0.25">
      <c r="A971" t="s">
        <v>4103</v>
      </c>
      <c r="C971" t="s">
        <v>3509</v>
      </c>
      <c r="F971" t="s">
        <v>1020</v>
      </c>
    </row>
    <row r="972" spans="1:6" x14ac:dyDescent="0.25">
      <c r="A972" t="s">
        <v>4103</v>
      </c>
      <c r="C972" t="s">
        <v>1581</v>
      </c>
      <c r="F972" t="s">
        <v>1431</v>
      </c>
    </row>
    <row r="973" spans="1:6" x14ac:dyDescent="0.25">
      <c r="A973" t="s">
        <v>4103</v>
      </c>
      <c r="C973" t="s">
        <v>3510</v>
      </c>
      <c r="F973" t="s">
        <v>1432</v>
      </c>
    </row>
    <row r="974" spans="1:6" x14ac:dyDescent="0.25">
      <c r="A974" t="s">
        <v>4103</v>
      </c>
      <c r="C974" t="s">
        <v>3511</v>
      </c>
      <c r="F974" t="s">
        <v>1433</v>
      </c>
    </row>
    <row r="975" spans="1:6" x14ac:dyDescent="0.25">
      <c r="A975" t="s">
        <v>4103</v>
      </c>
      <c r="C975" t="s">
        <v>3512</v>
      </c>
      <c r="F975" t="s">
        <v>1434</v>
      </c>
    </row>
    <row r="976" spans="1:6" x14ac:dyDescent="0.25">
      <c r="A976" t="s">
        <v>4103</v>
      </c>
      <c r="C976" t="s">
        <v>864</v>
      </c>
      <c r="F976" t="s">
        <v>1435</v>
      </c>
    </row>
    <row r="977" spans="1:6" x14ac:dyDescent="0.25">
      <c r="A977" t="s">
        <v>4103</v>
      </c>
      <c r="C977" t="s">
        <v>3513</v>
      </c>
      <c r="F977" t="s">
        <v>1436</v>
      </c>
    </row>
    <row r="978" spans="1:6" x14ac:dyDescent="0.25">
      <c r="A978" t="s">
        <v>4103</v>
      </c>
      <c r="C978" t="s">
        <v>2005</v>
      </c>
      <c r="F978" t="s">
        <v>1437</v>
      </c>
    </row>
    <row r="979" spans="1:6" x14ac:dyDescent="0.25">
      <c r="A979" t="s">
        <v>4103</v>
      </c>
      <c r="C979" t="s">
        <v>3514</v>
      </c>
      <c r="F979" t="s">
        <v>1438</v>
      </c>
    </row>
    <row r="980" spans="1:6" x14ac:dyDescent="0.25">
      <c r="A980" t="s">
        <v>4103</v>
      </c>
      <c r="C980" t="s">
        <v>3515</v>
      </c>
      <c r="F980" t="s">
        <v>1439</v>
      </c>
    </row>
    <row r="981" spans="1:6" x14ac:dyDescent="0.25">
      <c r="A981" t="s">
        <v>4103</v>
      </c>
      <c r="C981" t="s">
        <v>3516</v>
      </c>
      <c r="F981" t="s">
        <v>1440</v>
      </c>
    </row>
    <row r="982" spans="1:6" x14ac:dyDescent="0.25">
      <c r="A982" t="s">
        <v>4103</v>
      </c>
      <c r="C982" t="s">
        <v>3517</v>
      </c>
      <c r="F982" t="s">
        <v>1441</v>
      </c>
    </row>
    <row r="983" spans="1:6" x14ac:dyDescent="0.25">
      <c r="A983" t="s">
        <v>4103</v>
      </c>
      <c r="C983" t="s">
        <v>3518</v>
      </c>
      <c r="F983" t="s">
        <v>1442</v>
      </c>
    </row>
    <row r="984" spans="1:6" x14ac:dyDescent="0.25">
      <c r="A984" t="s">
        <v>4103</v>
      </c>
      <c r="C984" t="s">
        <v>3519</v>
      </c>
      <c r="F984" t="s">
        <v>1443</v>
      </c>
    </row>
    <row r="985" spans="1:6" x14ac:dyDescent="0.25">
      <c r="A985" t="s">
        <v>4103</v>
      </c>
      <c r="C985" t="s">
        <v>3520</v>
      </c>
      <c r="F985" t="s">
        <v>1444</v>
      </c>
    </row>
    <row r="986" spans="1:6" x14ac:dyDescent="0.25">
      <c r="A986" t="s">
        <v>4103</v>
      </c>
      <c r="C986" t="s">
        <v>3521</v>
      </c>
      <c r="F986" t="s">
        <v>57</v>
      </c>
    </row>
    <row r="987" spans="1:6" x14ac:dyDescent="0.25">
      <c r="A987" t="s">
        <v>4103</v>
      </c>
      <c r="C987" t="s">
        <v>3522</v>
      </c>
      <c r="F987" t="s">
        <v>1445</v>
      </c>
    </row>
    <row r="988" spans="1:6" x14ac:dyDescent="0.25">
      <c r="A988" t="s">
        <v>4103</v>
      </c>
      <c r="C988" t="s">
        <v>3523</v>
      </c>
      <c r="F988" t="s">
        <v>1446</v>
      </c>
    </row>
    <row r="989" spans="1:6" x14ac:dyDescent="0.25">
      <c r="A989" t="s">
        <v>4103</v>
      </c>
      <c r="C989" t="s">
        <v>3524</v>
      </c>
      <c r="F989" t="s">
        <v>1447</v>
      </c>
    </row>
    <row r="990" spans="1:6" x14ac:dyDescent="0.25">
      <c r="A990" t="s">
        <v>4103</v>
      </c>
      <c r="C990" t="s">
        <v>3525</v>
      </c>
      <c r="F990" t="s">
        <v>1448</v>
      </c>
    </row>
    <row r="991" spans="1:6" x14ac:dyDescent="0.25">
      <c r="A991" t="s">
        <v>4103</v>
      </c>
      <c r="C991" t="s">
        <v>3526</v>
      </c>
      <c r="F991" t="s">
        <v>1449</v>
      </c>
    </row>
    <row r="992" spans="1:6" x14ac:dyDescent="0.25">
      <c r="A992" t="s">
        <v>4103</v>
      </c>
      <c r="C992" t="s">
        <v>3527</v>
      </c>
      <c r="F992" t="s">
        <v>1450</v>
      </c>
    </row>
    <row r="993" spans="1:6" x14ac:dyDescent="0.25">
      <c r="A993" t="s">
        <v>4103</v>
      </c>
      <c r="C993" t="s">
        <v>3528</v>
      </c>
      <c r="F993" t="s">
        <v>108</v>
      </c>
    </row>
    <row r="994" spans="1:6" x14ac:dyDescent="0.25">
      <c r="A994" t="s">
        <v>4103</v>
      </c>
      <c r="C994" t="s">
        <v>3529</v>
      </c>
      <c r="F994" t="s">
        <v>1451</v>
      </c>
    </row>
    <row r="995" spans="1:6" x14ac:dyDescent="0.25">
      <c r="A995" t="s">
        <v>4103</v>
      </c>
      <c r="C995" t="s">
        <v>3530</v>
      </c>
      <c r="F995" t="s">
        <v>1452</v>
      </c>
    </row>
    <row r="996" spans="1:6" x14ac:dyDescent="0.25">
      <c r="A996" t="s">
        <v>4103</v>
      </c>
      <c r="C996" t="s">
        <v>3531</v>
      </c>
      <c r="F996" t="s">
        <v>1453</v>
      </c>
    </row>
    <row r="997" spans="1:6" x14ac:dyDescent="0.25">
      <c r="A997" t="s">
        <v>4103</v>
      </c>
      <c r="C997" t="s">
        <v>3532</v>
      </c>
      <c r="F997" t="s">
        <v>1454</v>
      </c>
    </row>
    <row r="998" spans="1:6" x14ac:dyDescent="0.25">
      <c r="A998" t="s">
        <v>4103</v>
      </c>
      <c r="C998" t="s">
        <v>3533</v>
      </c>
      <c r="F998" t="s">
        <v>1455</v>
      </c>
    </row>
    <row r="999" spans="1:6" x14ac:dyDescent="0.25">
      <c r="A999" t="s">
        <v>4103</v>
      </c>
      <c r="C999" t="s">
        <v>1079</v>
      </c>
      <c r="F999" t="s">
        <v>1456</v>
      </c>
    </row>
    <row r="1000" spans="1:6" x14ac:dyDescent="0.25">
      <c r="A1000" t="s">
        <v>4103</v>
      </c>
      <c r="C1000" t="s">
        <v>3534</v>
      </c>
      <c r="F1000" t="s">
        <v>1457</v>
      </c>
    </row>
    <row r="1001" spans="1:6" x14ac:dyDescent="0.25">
      <c r="A1001" t="s">
        <v>4103</v>
      </c>
      <c r="C1001" t="s">
        <v>3535</v>
      </c>
      <c r="F1001" t="s">
        <v>1458</v>
      </c>
    </row>
    <row r="1002" spans="1:6" x14ac:dyDescent="0.25">
      <c r="A1002" t="s">
        <v>4103</v>
      </c>
      <c r="C1002" t="s">
        <v>3536</v>
      </c>
      <c r="F1002" t="s">
        <v>1459</v>
      </c>
    </row>
    <row r="1003" spans="1:6" x14ac:dyDescent="0.25">
      <c r="A1003" t="s">
        <v>4103</v>
      </c>
      <c r="C1003" t="s">
        <v>3537</v>
      </c>
      <c r="F1003" t="s">
        <v>1460</v>
      </c>
    </row>
    <row r="1004" spans="1:6" x14ac:dyDescent="0.25">
      <c r="A1004" t="s">
        <v>4103</v>
      </c>
      <c r="C1004" t="s">
        <v>3538</v>
      </c>
      <c r="F1004" t="s">
        <v>1461</v>
      </c>
    </row>
    <row r="1005" spans="1:6" x14ac:dyDescent="0.25">
      <c r="A1005" t="s">
        <v>4103</v>
      </c>
      <c r="C1005" t="s">
        <v>3539</v>
      </c>
      <c r="F1005" t="s">
        <v>1462</v>
      </c>
    </row>
    <row r="1006" spans="1:6" x14ac:dyDescent="0.25">
      <c r="A1006" t="s">
        <v>4103</v>
      </c>
      <c r="C1006" t="s">
        <v>3540</v>
      </c>
      <c r="F1006" t="s">
        <v>1463</v>
      </c>
    </row>
    <row r="1007" spans="1:6" x14ac:dyDescent="0.25">
      <c r="A1007" t="s">
        <v>4103</v>
      </c>
      <c r="C1007" t="s">
        <v>3541</v>
      </c>
      <c r="F1007" t="s">
        <v>1464</v>
      </c>
    </row>
    <row r="1008" spans="1:6" x14ac:dyDescent="0.25">
      <c r="A1008" t="s">
        <v>4103</v>
      </c>
      <c r="C1008" t="s">
        <v>3542</v>
      </c>
      <c r="F1008" t="s">
        <v>1465</v>
      </c>
    </row>
    <row r="1009" spans="1:6" x14ac:dyDescent="0.25">
      <c r="A1009" t="s">
        <v>4103</v>
      </c>
      <c r="C1009" t="s">
        <v>3543</v>
      </c>
      <c r="F1009" t="s">
        <v>1466</v>
      </c>
    </row>
    <row r="1010" spans="1:6" x14ac:dyDescent="0.25">
      <c r="A1010" t="s">
        <v>4103</v>
      </c>
      <c r="C1010" t="s">
        <v>3544</v>
      </c>
      <c r="F1010" t="s">
        <v>1467</v>
      </c>
    </row>
    <row r="1011" spans="1:6" x14ac:dyDescent="0.25">
      <c r="A1011" t="s">
        <v>4103</v>
      </c>
      <c r="C1011" t="s">
        <v>3545</v>
      </c>
      <c r="F1011" t="s">
        <v>1468</v>
      </c>
    </row>
    <row r="1012" spans="1:6" x14ac:dyDescent="0.25">
      <c r="A1012" t="s">
        <v>4103</v>
      </c>
      <c r="C1012" t="s">
        <v>3546</v>
      </c>
      <c r="F1012" t="s">
        <v>1469</v>
      </c>
    </row>
    <row r="1013" spans="1:6" x14ac:dyDescent="0.25">
      <c r="A1013" t="s">
        <v>4103</v>
      </c>
      <c r="C1013" t="s">
        <v>3547</v>
      </c>
      <c r="F1013" t="s">
        <v>1470</v>
      </c>
    </row>
    <row r="1014" spans="1:6" x14ac:dyDescent="0.25">
      <c r="A1014" t="s">
        <v>4103</v>
      </c>
      <c r="C1014" t="s">
        <v>3548</v>
      </c>
      <c r="F1014" t="s">
        <v>1471</v>
      </c>
    </row>
    <row r="1015" spans="1:6" x14ac:dyDescent="0.25">
      <c r="A1015" t="s">
        <v>4103</v>
      </c>
      <c r="C1015" t="s">
        <v>3549</v>
      </c>
      <c r="F1015" t="s">
        <v>1472</v>
      </c>
    </row>
    <row r="1016" spans="1:6" x14ac:dyDescent="0.25">
      <c r="A1016" t="s">
        <v>4103</v>
      </c>
      <c r="C1016" t="s">
        <v>3550</v>
      </c>
      <c r="F1016" t="s">
        <v>1473</v>
      </c>
    </row>
    <row r="1017" spans="1:6" x14ac:dyDescent="0.25">
      <c r="A1017" t="s">
        <v>4103</v>
      </c>
      <c r="C1017" t="s">
        <v>3551</v>
      </c>
      <c r="F1017" t="s">
        <v>1474</v>
      </c>
    </row>
    <row r="1018" spans="1:6" x14ac:dyDescent="0.25">
      <c r="A1018" t="s">
        <v>4103</v>
      </c>
      <c r="C1018" t="s">
        <v>3552</v>
      </c>
      <c r="F1018" t="s">
        <v>1475</v>
      </c>
    </row>
    <row r="1019" spans="1:6" x14ac:dyDescent="0.25">
      <c r="A1019" t="s">
        <v>4103</v>
      </c>
      <c r="C1019" t="s">
        <v>3553</v>
      </c>
      <c r="F1019" t="s">
        <v>1476</v>
      </c>
    </row>
    <row r="1020" spans="1:6" x14ac:dyDescent="0.25">
      <c r="A1020" t="s">
        <v>4103</v>
      </c>
      <c r="C1020" t="s">
        <v>3554</v>
      </c>
      <c r="F1020" t="s">
        <v>1477</v>
      </c>
    </row>
    <row r="1021" spans="1:6" x14ac:dyDescent="0.25">
      <c r="A1021" t="s">
        <v>4103</v>
      </c>
      <c r="C1021" t="s">
        <v>3555</v>
      </c>
      <c r="F1021" t="s">
        <v>1478</v>
      </c>
    </row>
    <row r="1022" spans="1:6" x14ac:dyDescent="0.25">
      <c r="A1022" t="s">
        <v>4103</v>
      </c>
      <c r="C1022" t="s">
        <v>3556</v>
      </c>
      <c r="F1022" t="s">
        <v>1479</v>
      </c>
    </row>
    <row r="1023" spans="1:6" x14ac:dyDescent="0.25">
      <c r="A1023" t="s">
        <v>4103</v>
      </c>
      <c r="C1023" t="s">
        <v>3557</v>
      </c>
      <c r="F1023" t="s">
        <v>886</v>
      </c>
    </row>
    <row r="1024" spans="1:6" x14ac:dyDescent="0.25">
      <c r="A1024" t="s">
        <v>4103</v>
      </c>
      <c r="C1024" t="s">
        <v>3558</v>
      </c>
      <c r="F1024" t="s">
        <v>1480</v>
      </c>
    </row>
    <row r="1025" spans="1:6" x14ac:dyDescent="0.25">
      <c r="A1025" t="s">
        <v>4103</v>
      </c>
      <c r="C1025" t="s">
        <v>3559</v>
      </c>
      <c r="F1025" t="s">
        <v>1481</v>
      </c>
    </row>
    <row r="1026" spans="1:6" x14ac:dyDescent="0.25">
      <c r="A1026" t="s">
        <v>4103</v>
      </c>
      <c r="C1026" t="s">
        <v>3560</v>
      </c>
      <c r="F1026" t="s">
        <v>1482</v>
      </c>
    </row>
    <row r="1027" spans="1:6" x14ac:dyDescent="0.25">
      <c r="A1027" t="s">
        <v>4103</v>
      </c>
      <c r="C1027" t="s">
        <v>3561</v>
      </c>
      <c r="F1027" t="s">
        <v>1483</v>
      </c>
    </row>
    <row r="1028" spans="1:6" x14ac:dyDescent="0.25">
      <c r="A1028" t="s">
        <v>4103</v>
      </c>
      <c r="C1028" t="s">
        <v>2121</v>
      </c>
      <c r="F1028" t="s">
        <v>1484</v>
      </c>
    </row>
    <row r="1029" spans="1:6" x14ac:dyDescent="0.25">
      <c r="A1029" t="s">
        <v>4103</v>
      </c>
      <c r="C1029" t="s">
        <v>3562</v>
      </c>
      <c r="F1029" t="s">
        <v>1485</v>
      </c>
    </row>
    <row r="1030" spans="1:6" x14ac:dyDescent="0.25">
      <c r="A1030" t="s">
        <v>4103</v>
      </c>
      <c r="C1030" t="s">
        <v>3563</v>
      </c>
      <c r="F1030" t="s">
        <v>1486</v>
      </c>
    </row>
    <row r="1031" spans="1:6" x14ac:dyDescent="0.25">
      <c r="A1031" t="s">
        <v>4103</v>
      </c>
      <c r="C1031" t="s">
        <v>3564</v>
      </c>
      <c r="F1031" t="s">
        <v>1487</v>
      </c>
    </row>
    <row r="1032" spans="1:6" x14ac:dyDescent="0.25">
      <c r="A1032" t="s">
        <v>4103</v>
      </c>
      <c r="C1032" t="s">
        <v>3565</v>
      </c>
      <c r="F1032" t="s">
        <v>1488</v>
      </c>
    </row>
    <row r="1033" spans="1:6" x14ac:dyDescent="0.25">
      <c r="A1033" t="s">
        <v>4103</v>
      </c>
      <c r="C1033" t="s">
        <v>3566</v>
      </c>
      <c r="F1033" t="s">
        <v>1489</v>
      </c>
    </row>
    <row r="1034" spans="1:6" x14ac:dyDescent="0.25">
      <c r="A1034" t="s">
        <v>4103</v>
      </c>
      <c r="C1034" t="s">
        <v>3567</v>
      </c>
      <c r="F1034" t="s">
        <v>137</v>
      </c>
    </row>
    <row r="1035" spans="1:6" x14ac:dyDescent="0.25">
      <c r="A1035" t="s">
        <v>4103</v>
      </c>
      <c r="C1035" t="s">
        <v>3568</v>
      </c>
      <c r="F1035" t="s">
        <v>1490</v>
      </c>
    </row>
    <row r="1036" spans="1:6" x14ac:dyDescent="0.25">
      <c r="A1036" t="s">
        <v>4103</v>
      </c>
      <c r="C1036" t="s">
        <v>3569</v>
      </c>
      <c r="F1036" t="s">
        <v>1491</v>
      </c>
    </row>
    <row r="1037" spans="1:6" x14ac:dyDescent="0.25">
      <c r="A1037" t="s">
        <v>4103</v>
      </c>
      <c r="C1037" t="s">
        <v>3570</v>
      </c>
      <c r="F1037" t="s">
        <v>1492</v>
      </c>
    </row>
    <row r="1038" spans="1:6" x14ac:dyDescent="0.25">
      <c r="A1038" t="s">
        <v>4103</v>
      </c>
      <c r="C1038" t="s">
        <v>3571</v>
      </c>
      <c r="F1038" t="s">
        <v>1493</v>
      </c>
    </row>
    <row r="1039" spans="1:6" x14ac:dyDescent="0.25">
      <c r="A1039" t="s">
        <v>4103</v>
      </c>
      <c r="C1039" t="s">
        <v>3572</v>
      </c>
      <c r="F1039" t="s">
        <v>1494</v>
      </c>
    </row>
    <row r="1040" spans="1:6" x14ac:dyDescent="0.25">
      <c r="A1040" t="s">
        <v>4103</v>
      </c>
      <c r="C1040" t="s">
        <v>3573</v>
      </c>
      <c r="F1040" t="s">
        <v>1495</v>
      </c>
    </row>
    <row r="1041" spans="1:6" x14ac:dyDescent="0.25">
      <c r="A1041" t="s">
        <v>4103</v>
      </c>
      <c r="C1041" t="s">
        <v>1061</v>
      </c>
      <c r="F1041" t="s">
        <v>1496</v>
      </c>
    </row>
    <row r="1042" spans="1:6" x14ac:dyDescent="0.25">
      <c r="A1042" t="s">
        <v>4103</v>
      </c>
      <c r="C1042" t="s">
        <v>3574</v>
      </c>
      <c r="F1042" t="s">
        <v>1497</v>
      </c>
    </row>
    <row r="1043" spans="1:6" x14ac:dyDescent="0.25">
      <c r="A1043" t="s">
        <v>4103</v>
      </c>
      <c r="C1043" t="s">
        <v>1038</v>
      </c>
      <c r="F1043" t="s">
        <v>1498</v>
      </c>
    </row>
    <row r="1044" spans="1:6" x14ac:dyDescent="0.25">
      <c r="A1044" t="s">
        <v>4103</v>
      </c>
      <c r="C1044" t="s">
        <v>1041</v>
      </c>
      <c r="F1044" t="s">
        <v>1499</v>
      </c>
    </row>
    <row r="1045" spans="1:6" x14ac:dyDescent="0.25">
      <c r="A1045" t="s">
        <v>4103</v>
      </c>
      <c r="C1045" t="s">
        <v>3575</v>
      </c>
      <c r="F1045" t="s">
        <v>1500</v>
      </c>
    </row>
    <row r="1046" spans="1:6" x14ac:dyDescent="0.25">
      <c r="A1046" t="s">
        <v>4103</v>
      </c>
      <c r="C1046" t="s">
        <v>3576</v>
      </c>
      <c r="F1046" t="s">
        <v>1501</v>
      </c>
    </row>
    <row r="1047" spans="1:6" x14ac:dyDescent="0.25">
      <c r="A1047" t="s">
        <v>4103</v>
      </c>
      <c r="C1047" t="s">
        <v>3577</v>
      </c>
      <c r="F1047" t="s">
        <v>1502</v>
      </c>
    </row>
    <row r="1048" spans="1:6" x14ac:dyDescent="0.25">
      <c r="A1048" t="s">
        <v>4103</v>
      </c>
      <c r="C1048" t="s">
        <v>3578</v>
      </c>
      <c r="F1048" t="s">
        <v>1503</v>
      </c>
    </row>
    <row r="1049" spans="1:6" x14ac:dyDescent="0.25">
      <c r="A1049" t="s">
        <v>4103</v>
      </c>
      <c r="C1049" t="s">
        <v>3579</v>
      </c>
      <c r="F1049" t="s">
        <v>1504</v>
      </c>
    </row>
    <row r="1050" spans="1:6" x14ac:dyDescent="0.25">
      <c r="A1050" t="s">
        <v>4103</v>
      </c>
      <c r="C1050" t="s">
        <v>3580</v>
      </c>
      <c r="F1050" t="s">
        <v>1505</v>
      </c>
    </row>
    <row r="1051" spans="1:6" x14ac:dyDescent="0.25">
      <c r="A1051" t="s">
        <v>4103</v>
      </c>
      <c r="C1051" t="s">
        <v>3581</v>
      </c>
      <c r="F1051" t="s">
        <v>1506</v>
      </c>
    </row>
    <row r="1052" spans="1:6" x14ac:dyDescent="0.25">
      <c r="A1052" t="s">
        <v>4103</v>
      </c>
      <c r="C1052" t="s">
        <v>898</v>
      </c>
      <c r="F1052" t="s">
        <v>1507</v>
      </c>
    </row>
    <row r="1053" spans="1:6" x14ac:dyDescent="0.25">
      <c r="A1053" t="s">
        <v>4103</v>
      </c>
      <c r="C1053" t="s">
        <v>1096</v>
      </c>
      <c r="F1053" t="s">
        <v>1508</v>
      </c>
    </row>
    <row r="1054" spans="1:6" x14ac:dyDescent="0.25">
      <c r="A1054" t="s">
        <v>4103</v>
      </c>
      <c r="C1054" t="s">
        <v>3582</v>
      </c>
      <c r="F1054" t="s">
        <v>1509</v>
      </c>
    </row>
    <row r="1055" spans="1:6" x14ac:dyDescent="0.25">
      <c r="A1055" t="s">
        <v>4103</v>
      </c>
      <c r="C1055" t="s">
        <v>3583</v>
      </c>
      <c r="F1055" t="s">
        <v>1510</v>
      </c>
    </row>
    <row r="1056" spans="1:6" x14ac:dyDescent="0.25">
      <c r="A1056" t="s">
        <v>4103</v>
      </c>
      <c r="C1056" t="s">
        <v>3584</v>
      </c>
      <c r="F1056" t="s">
        <v>1511</v>
      </c>
    </row>
    <row r="1057" spans="1:6" x14ac:dyDescent="0.25">
      <c r="A1057" t="s">
        <v>4103</v>
      </c>
      <c r="C1057" t="s">
        <v>3585</v>
      </c>
      <c r="F1057" t="s">
        <v>1512</v>
      </c>
    </row>
    <row r="1058" spans="1:6" x14ac:dyDescent="0.25">
      <c r="A1058" t="s">
        <v>4103</v>
      </c>
      <c r="C1058" t="s">
        <v>3586</v>
      </c>
      <c r="F1058" t="s">
        <v>1513</v>
      </c>
    </row>
    <row r="1059" spans="1:6" x14ac:dyDescent="0.25">
      <c r="A1059" t="s">
        <v>4103</v>
      </c>
      <c r="C1059" t="s">
        <v>3587</v>
      </c>
      <c r="F1059" t="s">
        <v>1514</v>
      </c>
    </row>
    <row r="1060" spans="1:6" x14ac:dyDescent="0.25">
      <c r="A1060" t="s">
        <v>4103</v>
      </c>
      <c r="C1060" t="s">
        <v>3588</v>
      </c>
      <c r="F1060" t="s">
        <v>1515</v>
      </c>
    </row>
    <row r="1061" spans="1:6" x14ac:dyDescent="0.25">
      <c r="A1061" t="s">
        <v>4103</v>
      </c>
      <c r="C1061" t="s">
        <v>3589</v>
      </c>
      <c r="F1061" t="s">
        <v>1516</v>
      </c>
    </row>
    <row r="1062" spans="1:6" x14ac:dyDescent="0.25">
      <c r="A1062" t="s">
        <v>4103</v>
      </c>
      <c r="C1062" t="s">
        <v>3590</v>
      </c>
      <c r="F1062" t="s">
        <v>1517</v>
      </c>
    </row>
    <row r="1063" spans="1:6" x14ac:dyDescent="0.25">
      <c r="A1063" t="s">
        <v>4103</v>
      </c>
      <c r="C1063" t="s">
        <v>3591</v>
      </c>
      <c r="F1063" t="s">
        <v>1518</v>
      </c>
    </row>
    <row r="1064" spans="1:6" x14ac:dyDescent="0.25">
      <c r="A1064" t="s">
        <v>4103</v>
      </c>
      <c r="C1064" t="s">
        <v>3592</v>
      </c>
      <c r="F1064" t="s">
        <v>1519</v>
      </c>
    </row>
    <row r="1065" spans="1:6" x14ac:dyDescent="0.25">
      <c r="A1065" t="s">
        <v>4103</v>
      </c>
      <c r="C1065" t="s">
        <v>3593</v>
      </c>
      <c r="F1065" t="s">
        <v>1520</v>
      </c>
    </row>
    <row r="1066" spans="1:6" x14ac:dyDescent="0.25">
      <c r="A1066" t="s">
        <v>4103</v>
      </c>
      <c r="C1066" t="s">
        <v>3594</v>
      </c>
      <c r="F1066" t="s">
        <v>1521</v>
      </c>
    </row>
    <row r="1067" spans="1:6" x14ac:dyDescent="0.25">
      <c r="A1067" t="s">
        <v>4103</v>
      </c>
      <c r="C1067" t="s">
        <v>3595</v>
      </c>
      <c r="F1067" t="s">
        <v>1522</v>
      </c>
    </row>
    <row r="1068" spans="1:6" x14ac:dyDescent="0.25">
      <c r="A1068" t="s">
        <v>4103</v>
      </c>
      <c r="C1068" t="s">
        <v>3596</v>
      </c>
      <c r="F1068" t="s">
        <v>1523</v>
      </c>
    </row>
    <row r="1069" spans="1:6" x14ac:dyDescent="0.25">
      <c r="A1069" t="s">
        <v>4103</v>
      </c>
      <c r="C1069" t="s">
        <v>3597</v>
      </c>
      <c r="F1069" t="s">
        <v>1524</v>
      </c>
    </row>
    <row r="1070" spans="1:6" x14ac:dyDescent="0.25">
      <c r="A1070" t="s">
        <v>4103</v>
      </c>
      <c r="C1070" t="s">
        <v>3598</v>
      </c>
      <c r="F1070" t="s">
        <v>1525</v>
      </c>
    </row>
    <row r="1071" spans="1:6" x14ac:dyDescent="0.25">
      <c r="A1071" t="s">
        <v>4103</v>
      </c>
      <c r="C1071" t="s">
        <v>3599</v>
      </c>
      <c r="F1071" t="s">
        <v>1526</v>
      </c>
    </row>
    <row r="1072" spans="1:6" x14ac:dyDescent="0.25">
      <c r="A1072" t="s">
        <v>4103</v>
      </c>
      <c r="C1072" t="s">
        <v>3600</v>
      </c>
      <c r="F1072" t="s">
        <v>1527</v>
      </c>
    </row>
    <row r="1073" spans="1:6" x14ac:dyDescent="0.25">
      <c r="A1073" t="s">
        <v>4103</v>
      </c>
      <c r="C1073" t="s">
        <v>3601</v>
      </c>
      <c r="F1073" t="s">
        <v>1528</v>
      </c>
    </row>
    <row r="1074" spans="1:6" x14ac:dyDescent="0.25">
      <c r="A1074" t="s">
        <v>4103</v>
      </c>
      <c r="C1074" t="s">
        <v>3602</v>
      </c>
      <c r="F1074" t="s">
        <v>1529</v>
      </c>
    </row>
    <row r="1075" spans="1:6" x14ac:dyDescent="0.25">
      <c r="A1075" t="s">
        <v>4103</v>
      </c>
      <c r="C1075" t="s">
        <v>973</v>
      </c>
      <c r="F1075" t="s">
        <v>1530</v>
      </c>
    </row>
    <row r="1076" spans="1:6" x14ac:dyDescent="0.25">
      <c r="A1076" t="s">
        <v>4103</v>
      </c>
      <c r="C1076" t="s">
        <v>3603</v>
      </c>
      <c r="F1076" t="s">
        <v>1531</v>
      </c>
    </row>
    <row r="1077" spans="1:6" x14ac:dyDescent="0.25">
      <c r="A1077" t="s">
        <v>4103</v>
      </c>
      <c r="C1077" t="s">
        <v>3604</v>
      </c>
      <c r="F1077" t="s">
        <v>1532</v>
      </c>
    </row>
    <row r="1078" spans="1:6" x14ac:dyDescent="0.25">
      <c r="A1078" t="s">
        <v>4103</v>
      </c>
      <c r="C1078" t="s">
        <v>3605</v>
      </c>
      <c r="F1078" t="s">
        <v>1533</v>
      </c>
    </row>
    <row r="1079" spans="1:6" x14ac:dyDescent="0.25">
      <c r="A1079" t="s">
        <v>4103</v>
      </c>
      <c r="C1079" t="s">
        <v>3606</v>
      </c>
      <c r="F1079" t="s">
        <v>1534</v>
      </c>
    </row>
    <row r="1080" spans="1:6" x14ac:dyDescent="0.25">
      <c r="A1080" t="s">
        <v>4103</v>
      </c>
      <c r="C1080" t="s">
        <v>3607</v>
      </c>
      <c r="F1080" t="s">
        <v>1535</v>
      </c>
    </row>
    <row r="1081" spans="1:6" x14ac:dyDescent="0.25">
      <c r="A1081" t="s">
        <v>4103</v>
      </c>
      <c r="C1081" t="s">
        <v>3608</v>
      </c>
      <c r="F1081" t="s">
        <v>1536</v>
      </c>
    </row>
    <row r="1082" spans="1:6" x14ac:dyDescent="0.25">
      <c r="A1082" t="s">
        <v>4103</v>
      </c>
      <c r="C1082" t="s">
        <v>3609</v>
      </c>
      <c r="F1082" t="s">
        <v>1537</v>
      </c>
    </row>
    <row r="1083" spans="1:6" x14ac:dyDescent="0.25">
      <c r="A1083" t="s">
        <v>4103</v>
      </c>
      <c r="C1083" t="s">
        <v>3610</v>
      </c>
      <c r="F1083" t="s">
        <v>1538</v>
      </c>
    </row>
    <row r="1084" spans="1:6" x14ac:dyDescent="0.25">
      <c r="A1084" t="s">
        <v>4103</v>
      </c>
      <c r="C1084" t="s">
        <v>3611</v>
      </c>
      <c r="F1084" t="s">
        <v>1539</v>
      </c>
    </row>
    <row r="1085" spans="1:6" x14ac:dyDescent="0.25">
      <c r="A1085" t="s">
        <v>4103</v>
      </c>
      <c r="C1085" t="s">
        <v>1036</v>
      </c>
      <c r="F1085" t="s">
        <v>1540</v>
      </c>
    </row>
    <row r="1086" spans="1:6" x14ac:dyDescent="0.25">
      <c r="A1086" t="s">
        <v>4103</v>
      </c>
      <c r="C1086" t="s">
        <v>3612</v>
      </c>
      <c r="F1086" t="s">
        <v>1541</v>
      </c>
    </row>
    <row r="1087" spans="1:6" x14ac:dyDescent="0.25">
      <c r="A1087" t="s">
        <v>4103</v>
      </c>
      <c r="C1087" t="s">
        <v>1006</v>
      </c>
      <c r="F1087" t="s">
        <v>1542</v>
      </c>
    </row>
    <row r="1088" spans="1:6" x14ac:dyDescent="0.25">
      <c r="A1088" t="s">
        <v>4103</v>
      </c>
      <c r="C1088" t="s">
        <v>3613</v>
      </c>
      <c r="F1088" t="s">
        <v>1543</v>
      </c>
    </row>
    <row r="1089" spans="1:6" x14ac:dyDescent="0.25">
      <c r="A1089" t="s">
        <v>4103</v>
      </c>
      <c r="C1089" t="s">
        <v>3614</v>
      </c>
      <c r="F1089" t="s">
        <v>1544</v>
      </c>
    </row>
    <row r="1090" spans="1:6" x14ac:dyDescent="0.25">
      <c r="A1090" t="s">
        <v>4103</v>
      </c>
      <c r="C1090" t="s">
        <v>3615</v>
      </c>
      <c r="F1090" t="s">
        <v>1545</v>
      </c>
    </row>
    <row r="1091" spans="1:6" x14ac:dyDescent="0.25">
      <c r="A1091" t="s">
        <v>4103</v>
      </c>
      <c r="C1091" t="s">
        <v>3616</v>
      </c>
      <c r="F1091" t="s">
        <v>1546</v>
      </c>
    </row>
    <row r="1092" spans="1:6" x14ac:dyDescent="0.25">
      <c r="A1092" t="s">
        <v>4103</v>
      </c>
      <c r="C1092" t="s">
        <v>3617</v>
      </c>
      <c r="F1092" t="s">
        <v>1547</v>
      </c>
    </row>
    <row r="1093" spans="1:6" x14ac:dyDescent="0.25">
      <c r="A1093" t="s">
        <v>4103</v>
      </c>
      <c r="C1093" t="s">
        <v>3618</v>
      </c>
      <c r="F1093" t="s">
        <v>83</v>
      </c>
    </row>
    <row r="1094" spans="1:6" x14ac:dyDescent="0.25">
      <c r="A1094" t="s">
        <v>4103</v>
      </c>
      <c r="C1094" t="s">
        <v>3619</v>
      </c>
      <c r="F1094" t="s">
        <v>35</v>
      </c>
    </row>
    <row r="1095" spans="1:6" x14ac:dyDescent="0.25">
      <c r="A1095" t="s">
        <v>4103</v>
      </c>
      <c r="C1095" t="s">
        <v>985</v>
      </c>
      <c r="F1095" t="s">
        <v>114</v>
      </c>
    </row>
    <row r="1096" spans="1:6" x14ac:dyDescent="0.25">
      <c r="A1096" t="s">
        <v>4103</v>
      </c>
      <c r="C1096" t="s">
        <v>1064</v>
      </c>
      <c r="F1096" t="s">
        <v>127</v>
      </c>
    </row>
    <row r="1097" spans="1:6" x14ac:dyDescent="0.25">
      <c r="A1097" t="s">
        <v>4103</v>
      </c>
      <c r="C1097" t="s">
        <v>3620</v>
      </c>
      <c r="F1097" t="s">
        <v>1548</v>
      </c>
    </row>
    <row r="1098" spans="1:6" x14ac:dyDescent="0.25">
      <c r="A1098" t="s">
        <v>4103</v>
      </c>
      <c r="C1098" t="s">
        <v>3621</v>
      </c>
      <c r="F1098" t="s">
        <v>1549</v>
      </c>
    </row>
    <row r="1099" spans="1:6" x14ac:dyDescent="0.25">
      <c r="A1099" t="s">
        <v>4103</v>
      </c>
      <c r="C1099" t="s">
        <v>3622</v>
      </c>
      <c r="F1099" t="s">
        <v>1550</v>
      </c>
    </row>
    <row r="1100" spans="1:6" x14ac:dyDescent="0.25">
      <c r="A1100" t="s">
        <v>4103</v>
      </c>
      <c r="C1100" t="s">
        <v>3623</v>
      </c>
      <c r="F1100" t="s">
        <v>1551</v>
      </c>
    </row>
    <row r="1101" spans="1:6" x14ac:dyDescent="0.25">
      <c r="A1101" t="s">
        <v>4103</v>
      </c>
      <c r="C1101" t="s">
        <v>3624</v>
      </c>
      <c r="F1101" t="s">
        <v>1552</v>
      </c>
    </row>
    <row r="1102" spans="1:6" x14ac:dyDescent="0.25">
      <c r="A1102" t="s">
        <v>4103</v>
      </c>
      <c r="C1102" t="s">
        <v>3625</v>
      </c>
      <c r="F1102" t="s">
        <v>131</v>
      </c>
    </row>
    <row r="1103" spans="1:6" x14ac:dyDescent="0.25">
      <c r="A1103" t="s">
        <v>4103</v>
      </c>
      <c r="C1103" t="s">
        <v>3626</v>
      </c>
      <c r="F1103" t="s">
        <v>1553</v>
      </c>
    </row>
    <row r="1104" spans="1:6" x14ac:dyDescent="0.25">
      <c r="A1104" t="s">
        <v>4103</v>
      </c>
      <c r="C1104" t="s">
        <v>3627</v>
      </c>
      <c r="F1104" t="s">
        <v>1554</v>
      </c>
    </row>
    <row r="1105" spans="1:6" x14ac:dyDescent="0.25">
      <c r="A1105" t="s">
        <v>4103</v>
      </c>
      <c r="C1105" t="s">
        <v>3628</v>
      </c>
      <c r="F1105" t="s">
        <v>1555</v>
      </c>
    </row>
    <row r="1106" spans="1:6" x14ac:dyDescent="0.25">
      <c r="A1106" t="s">
        <v>4103</v>
      </c>
      <c r="C1106" t="s">
        <v>3629</v>
      </c>
      <c r="F1106" t="s">
        <v>1556</v>
      </c>
    </row>
    <row r="1107" spans="1:6" x14ac:dyDescent="0.25">
      <c r="A1107" t="s">
        <v>4103</v>
      </c>
      <c r="C1107" t="s">
        <v>3630</v>
      </c>
      <c r="F1107" t="s">
        <v>1557</v>
      </c>
    </row>
    <row r="1108" spans="1:6" x14ac:dyDescent="0.25">
      <c r="A1108" t="s">
        <v>4103</v>
      </c>
      <c r="C1108" t="s">
        <v>3631</v>
      </c>
      <c r="F1108" t="s">
        <v>1558</v>
      </c>
    </row>
    <row r="1109" spans="1:6" x14ac:dyDescent="0.25">
      <c r="A1109" t="s">
        <v>4103</v>
      </c>
      <c r="C1109" t="s">
        <v>3632</v>
      </c>
      <c r="F1109" t="s">
        <v>66</v>
      </c>
    </row>
    <row r="1110" spans="1:6" x14ac:dyDescent="0.25">
      <c r="A1110" t="s">
        <v>4103</v>
      </c>
      <c r="C1110" t="s">
        <v>3633</v>
      </c>
      <c r="F1110" t="s">
        <v>1559</v>
      </c>
    </row>
    <row r="1111" spans="1:6" x14ac:dyDescent="0.25">
      <c r="F1111" t="s">
        <v>1560</v>
      </c>
    </row>
    <row r="1112" spans="1:6" x14ac:dyDescent="0.25">
      <c r="F1112" t="s">
        <v>1561</v>
      </c>
    </row>
    <row r="1113" spans="1:6" x14ac:dyDescent="0.25">
      <c r="F1113" t="s">
        <v>1562</v>
      </c>
    </row>
    <row r="1114" spans="1:6" x14ac:dyDescent="0.25">
      <c r="F1114" t="s">
        <v>1563</v>
      </c>
    </row>
    <row r="1115" spans="1:6" x14ac:dyDescent="0.25">
      <c r="F1115" t="s">
        <v>1564</v>
      </c>
    </row>
    <row r="1116" spans="1:6" x14ac:dyDescent="0.25">
      <c r="F1116" t="s">
        <v>1565</v>
      </c>
    </row>
    <row r="1117" spans="1:6" x14ac:dyDescent="0.25">
      <c r="F1117" t="s">
        <v>1566</v>
      </c>
    </row>
    <row r="1118" spans="1:6" x14ac:dyDescent="0.25">
      <c r="F1118" t="s">
        <v>1567</v>
      </c>
    </row>
    <row r="1119" spans="1:6" x14ac:dyDescent="0.25">
      <c r="F1119" t="s">
        <v>1568</v>
      </c>
    </row>
    <row r="1120" spans="1:6" x14ac:dyDescent="0.25">
      <c r="F1120" t="s">
        <v>1569</v>
      </c>
    </row>
    <row r="1121" spans="6:6" x14ac:dyDescent="0.25">
      <c r="F1121" t="s">
        <v>1570</v>
      </c>
    </row>
    <row r="1122" spans="6:6" x14ac:dyDescent="0.25">
      <c r="F1122" t="s">
        <v>1571</v>
      </c>
    </row>
    <row r="1123" spans="6:6" x14ac:dyDescent="0.25">
      <c r="F1123" t="s">
        <v>1572</v>
      </c>
    </row>
    <row r="1124" spans="6:6" x14ac:dyDescent="0.25">
      <c r="F1124" t="s">
        <v>1573</v>
      </c>
    </row>
    <row r="1125" spans="6:6" x14ac:dyDescent="0.25">
      <c r="F1125" t="s">
        <v>1574</v>
      </c>
    </row>
    <row r="1126" spans="6:6" x14ac:dyDescent="0.25">
      <c r="F1126" t="s">
        <v>1575</v>
      </c>
    </row>
    <row r="1127" spans="6:6" x14ac:dyDescent="0.25">
      <c r="F1127" t="s">
        <v>1576</v>
      </c>
    </row>
    <row r="1128" spans="6:6" x14ac:dyDescent="0.25">
      <c r="F1128" t="s">
        <v>1577</v>
      </c>
    </row>
    <row r="1129" spans="6:6" x14ac:dyDescent="0.25">
      <c r="F1129" t="s">
        <v>1578</v>
      </c>
    </row>
    <row r="1130" spans="6:6" x14ac:dyDescent="0.25">
      <c r="F1130" t="s">
        <v>1579</v>
      </c>
    </row>
    <row r="1131" spans="6:6" x14ac:dyDescent="0.25">
      <c r="F1131" t="s">
        <v>1580</v>
      </c>
    </row>
    <row r="1132" spans="6:6" x14ac:dyDescent="0.25">
      <c r="F1132" t="s">
        <v>1581</v>
      </c>
    </row>
    <row r="1133" spans="6:6" x14ac:dyDescent="0.25">
      <c r="F1133" t="s">
        <v>1582</v>
      </c>
    </row>
    <row r="1134" spans="6:6" x14ac:dyDescent="0.25">
      <c r="F1134" t="s">
        <v>1583</v>
      </c>
    </row>
    <row r="1135" spans="6:6" x14ac:dyDescent="0.25">
      <c r="F1135" t="s">
        <v>1584</v>
      </c>
    </row>
    <row r="1136" spans="6:6" x14ac:dyDescent="0.25">
      <c r="F1136" t="s">
        <v>1585</v>
      </c>
    </row>
    <row r="1137" spans="6:6" x14ac:dyDescent="0.25">
      <c r="F1137" t="s">
        <v>1586</v>
      </c>
    </row>
    <row r="1138" spans="6:6" x14ac:dyDescent="0.25">
      <c r="F1138" t="s">
        <v>1587</v>
      </c>
    </row>
    <row r="1139" spans="6:6" x14ac:dyDescent="0.25">
      <c r="F1139" t="s">
        <v>1588</v>
      </c>
    </row>
    <row r="1140" spans="6:6" x14ac:dyDescent="0.25">
      <c r="F1140" t="s">
        <v>1589</v>
      </c>
    </row>
    <row r="1141" spans="6:6" x14ac:dyDescent="0.25">
      <c r="F1141" t="s">
        <v>1590</v>
      </c>
    </row>
    <row r="1142" spans="6:6" x14ac:dyDescent="0.25">
      <c r="F1142" t="s">
        <v>1591</v>
      </c>
    </row>
    <row r="1143" spans="6:6" x14ac:dyDescent="0.25">
      <c r="F1143" t="s">
        <v>1592</v>
      </c>
    </row>
    <row r="1144" spans="6:6" x14ac:dyDescent="0.25">
      <c r="F1144" t="s">
        <v>1593</v>
      </c>
    </row>
    <row r="1145" spans="6:6" x14ac:dyDescent="0.25">
      <c r="F1145" t="s">
        <v>1594</v>
      </c>
    </row>
    <row r="1146" spans="6:6" x14ac:dyDescent="0.25">
      <c r="F1146" t="s">
        <v>1595</v>
      </c>
    </row>
    <row r="1147" spans="6:6" x14ac:dyDescent="0.25">
      <c r="F1147" t="s">
        <v>1596</v>
      </c>
    </row>
    <row r="1148" spans="6:6" x14ac:dyDescent="0.25">
      <c r="F1148" t="s">
        <v>1597</v>
      </c>
    </row>
    <row r="1149" spans="6:6" x14ac:dyDescent="0.25">
      <c r="F1149" t="s">
        <v>1598</v>
      </c>
    </row>
    <row r="1150" spans="6:6" x14ac:dyDescent="0.25">
      <c r="F1150" t="s">
        <v>1599</v>
      </c>
    </row>
    <row r="1151" spans="6:6" x14ac:dyDescent="0.25">
      <c r="F1151" t="s">
        <v>1600</v>
      </c>
    </row>
    <row r="1152" spans="6:6" x14ac:dyDescent="0.25">
      <c r="F1152" t="s">
        <v>1601</v>
      </c>
    </row>
    <row r="1153" spans="6:6" x14ac:dyDescent="0.25">
      <c r="F1153" t="s">
        <v>1602</v>
      </c>
    </row>
    <row r="1154" spans="6:6" x14ac:dyDescent="0.25">
      <c r="F1154" t="s">
        <v>1603</v>
      </c>
    </row>
    <row r="1155" spans="6:6" x14ac:dyDescent="0.25">
      <c r="F1155" t="s">
        <v>1604</v>
      </c>
    </row>
    <row r="1156" spans="6:6" x14ac:dyDescent="0.25">
      <c r="F1156" t="s">
        <v>1605</v>
      </c>
    </row>
    <row r="1157" spans="6:6" x14ac:dyDescent="0.25">
      <c r="F1157" t="s">
        <v>1606</v>
      </c>
    </row>
    <row r="1158" spans="6:6" x14ac:dyDescent="0.25">
      <c r="F1158" t="s">
        <v>1607</v>
      </c>
    </row>
    <row r="1159" spans="6:6" x14ac:dyDescent="0.25">
      <c r="F1159" t="s">
        <v>1608</v>
      </c>
    </row>
    <row r="1160" spans="6:6" x14ac:dyDescent="0.25">
      <c r="F1160" t="s">
        <v>1609</v>
      </c>
    </row>
    <row r="1161" spans="6:6" x14ac:dyDescent="0.25">
      <c r="F1161" t="s">
        <v>1610</v>
      </c>
    </row>
    <row r="1162" spans="6:6" x14ac:dyDescent="0.25">
      <c r="F1162" t="s">
        <v>1611</v>
      </c>
    </row>
    <row r="1163" spans="6:6" x14ac:dyDescent="0.25">
      <c r="F1163" t="s">
        <v>1612</v>
      </c>
    </row>
    <row r="1164" spans="6:6" x14ac:dyDescent="0.25">
      <c r="F1164" t="s">
        <v>1613</v>
      </c>
    </row>
    <row r="1165" spans="6:6" x14ac:dyDescent="0.25">
      <c r="F1165" t="s">
        <v>1614</v>
      </c>
    </row>
    <row r="1166" spans="6:6" x14ac:dyDescent="0.25">
      <c r="F1166" t="s">
        <v>1615</v>
      </c>
    </row>
    <row r="1167" spans="6:6" x14ac:dyDescent="0.25">
      <c r="F1167" t="s">
        <v>1616</v>
      </c>
    </row>
    <row r="1168" spans="6:6" x14ac:dyDescent="0.25">
      <c r="F1168" t="s">
        <v>1617</v>
      </c>
    </row>
    <row r="1169" spans="6:6" x14ac:dyDescent="0.25">
      <c r="F1169" t="s">
        <v>1618</v>
      </c>
    </row>
    <row r="1170" spans="6:6" x14ac:dyDescent="0.25">
      <c r="F1170" t="s">
        <v>1619</v>
      </c>
    </row>
    <row r="1171" spans="6:6" x14ac:dyDescent="0.25">
      <c r="F1171" t="s">
        <v>1620</v>
      </c>
    </row>
    <row r="1172" spans="6:6" x14ac:dyDescent="0.25">
      <c r="F1172" t="s">
        <v>1621</v>
      </c>
    </row>
    <row r="1173" spans="6:6" x14ac:dyDescent="0.25">
      <c r="F1173" t="s">
        <v>1622</v>
      </c>
    </row>
    <row r="1174" spans="6:6" x14ac:dyDescent="0.25">
      <c r="F1174" t="s">
        <v>1623</v>
      </c>
    </row>
    <row r="1175" spans="6:6" x14ac:dyDescent="0.25">
      <c r="F1175" t="s">
        <v>1624</v>
      </c>
    </row>
    <row r="1176" spans="6:6" x14ac:dyDescent="0.25">
      <c r="F1176" t="s">
        <v>1625</v>
      </c>
    </row>
    <row r="1177" spans="6:6" x14ac:dyDescent="0.25">
      <c r="F1177" t="s">
        <v>1626</v>
      </c>
    </row>
    <row r="1178" spans="6:6" x14ac:dyDescent="0.25">
      <c r="F1178" t="s">
        <v>1627</v>
      </c>
    </row>
    <row r="1179" spans="6:6" x14ac:dyDescent="0.25">
      <c r="F1179" t="s">
        <v>1628</v>
      </c>
    </row>
    <row r="1180" spans="6:6" x14ac:dyDescent="0.25">
      <c r="F1180" t="s">
        <v>1629</v>
      </c>
    </row>
    <row r="1181" spans="6:6" x14ac:dyDescent="0.25">
      <c r="F1181" t="s">
        <v>1630</v>
      </c>
    </row>
    <row r="1182" spans="6:6" x14ac:dyDescent="0.25">
      <c r="F1182" t="s">
        <v>1631</v>
      </c>
    </row>
    <row r="1183" spans="6:6" x14ac:dyDescent="0.25">
      <c r="F1183" t="s">
        <v>1632</v>
      </c>
    </row>
    <row r="1184" spans="6:6" x14ac:dyDescent="0.25">
      <c r="F1184" t="s">
        <v>1633</v>
      </c>
    </row>
    <row r="1185" spans="6:6" x14ac:dyDescent="0.25">
      <c r="F1185" t="s">
        <v>1634</v>
      </c>
    </row>
    <row r="1186" spans="6:6" x14ac:dyDescent="0.25">
      <c r="F1186" t="s">
        <v>1635</v>
      </c>
    </row>
    <row r="1187" spans="6:6" x14ac:dyDescent="0.25">
      <c r="F1187" t="s">
        <v>1636</v>
      </c>
    </row>
    <row r="1188" spans="6:6" x14ac:dyDescent="0.25">
      <c r="F1188" t="s">
        <v>1637</v>
      </c>
    </row>
    <row r="1189" spans="6:6" x14ac:dyDescent="0.25">
      <c r="F1189" t="s">
        <v>1638</v>
      </c>
    </row>
    <row r="1190" spans="6:6" x14ac:dyDescent="0.25">
      <c r="F1190" t="s">
        <v>1639</v>
      </c>
    </row>
    <row r="1191" spans="6:6" x14ac:dyDescent="0.25">
      <c r="F1191" t="s">
        <v>1640</v>
      </c>
    </row>
    <row r="1192" spans="6:6" x14ac:dyDescent="0.25">
      <c r="F1192" t="s">
        <v>1641</v>
      </c>
    </row>
    <row r="1193" spans="6:6" x14ac:dyDescent="0.25">
      <c r="F1193" t="s">
        <v>1642</v>
      </c>
    </row>
    <row r="1194" spans="6:6" x14ac:dyDescent="0.25">
      <c r="F1194" t="s">
        <v>1643</v>
      </c>
    </row>
    <row r="1195" spans="6:6" x14ac:dyDescent="0.25">
      <c r="F1195" t="s">
        <v>1644</v>
      </c>
    </row>
    <row r="1196" spans="6:6" x14ac:dyDescent="0.25">
      <c r="F1196" t="s">
        <v>1645</v>
      </c>
    </row>
    <row r="1197" spans="6:6" x14ac:dyDescent="0.25">
      <c r="F1197" t="s">
        <v>1646</v>
      </c>
    </row>
    <row r="1198" spans="6:6" x14ac:dyDescent="0.25">
      <c r="F1198" t="s">
        <v>144</v>
      </c>
    </row>
    <row r="1199" spans="6:6" x14ac:dyDescent="0.25">
      <c r="F1199" t="s">
        <v>1647</v>
      </c>
    </row>
    <row r="1200" spans="6:6" x14ac:dyDescent="0.25">
      <c r="F1200" t="s">
        <v>917</v>
      </c>
    </row>
    <row r="1201" spans="6:6" x14ac:dyDescent="0.25">
      <c r="F1201" t="s">
        <v>1648</v>
      </c>
    </row>
    <row r="1202" spans="6:6" x14ac:dyDescent="0.25">
      <c r="F1202" t="s">
        <v>1649</v>
      </c>
    </row>
    <row r="1203" spans="6:6" x14ac:dyDescent="0.25">
      <c r="F1203" t="s">
        <v>1650</v>
      </c>
    </row>
    <row r="1204" spans="6:6" x14ac:dyDescent="0.25">
      <c r="F1204" t="s">
        <v>1651</v>
      </c>
    </row>
    <row r="1205" spans="6:6" x14ac:dyDescent="0.25">
      <c r="F1205" t="s">
        <v>1652</v>
      </c>
    </row>
    <row r="1206" spans="6:6" x14ac:dyDescent="0.25">
      <c r="F1206" t="s">
        <v>1653</v>
      </c>
    </row>
    <row r="1207" spans="6:6" x14ac:dyDescent="0.25">
      <c r="F1207" t="s">
        <v>1654</v>
      </c>
    </row>
    <row r="1208" spans="6:6" x14ac:dyDescent="0.25">
      <c r="F1208" t="s">
        <v>1655</v>
      </c>
    </row>
    <row r="1209" spans="6:6" x14ac:dyDescent="0.25">
      <c r="F1209" t="s">
        <v>1656</v>
      </c>
    </row>
    <row r="1210" spans="6:6" x14ac:dyDescent="0.25">
      <c r="F1210" t="s">
        <v>1657</v>
      </c>
    </row>
    <row r="1211" spans="6:6" x14ac:dyDescent="0.25">
      <c r="F1211" t="s">
        <v>1658</v>
      </c>
    </row>
    <row r="1212" spans="6:6" x14ac:dyDescent="0.25">
      <c r="F1212" t="s">
        <v>1659</v>
      </c>
    </row>
    <row r="1213" spans="6:6" x14ac:dyDescent="0.25">
      <c r="F1213" t="s">
        <v>1660</v>
      </c>
    </row>
    <row r="1214" spans="6:6" x14ac:dyDescent="0.25">
      <c r="F1214" t="s">
        <v>195</v>
      </c>
    </row>
    <row r="1215" spans="6:6" x14ac:dyDescent="0.25">
      <c r="F1215" t="s">
        <v>1661</v>
      </c>
    </row>
    <row r="1216" spans="6:6" x14ac:dyDescent="0.25">
      <c r="F1216" t="s">
        <v>1662</v>
      </c>
    </row>
    <row r="1217" spans="6:6" x14ac:dyDescent="0.25">
      <c r="F1217" t="s">
        <v>1663</v>
      </c>
    </row>
    <row r="1218" spans="6:6" x14ac:dyDescent="0.25">
      <c r="F1218" t="s">
        <v>1664</v>
      </c>
    </row>
    <row r="1219" spans="6:6" x14ac:dyDescent="0.25">
      <c r="F1219" t="s">
        <v>1665</v>
      </c>
    </row>
    <row r="1220" spans="6:6" x14ac:dyDescent="0.25">
      <c r="F1220" t="s">
        <v>1666</v>
      </c>
    </row>
    <row r="1221" spans="6:6" x14ac:dyDescent="0.25">
      <c r="F1221" t="s">
        <v>1667</v>
      </c>
    </row>
    <row r="1222" spans="6:6" x14ac:dyDescent="0.25">
      <c r="F1222" t="s">
        <v>1668</v>
      </c>
    </row>
    <row r="1223" spans="6:6" x14ac:dyDescent="0.25">
      <c r="F1223" t="s">
        <v>1669</v>
      </c>
    </row>
    <row r="1224" spans="6:6" x14ac:dyDescent="0.25">
      <c r="F1224" t="s">
        <v>1670</v>
      </c>
    </row>
    <row r="1225" spans="6:6" x14ac:dyDescent="0.25">
      <c r="F1225" t="s">
        <v>1671</v>
      </c>
    </row>
    <row r="1226" spans="6:6" x14ac:dyDescent="0.25">
      <c r="F1226" t="s">
        <v>1672</v>
      </c>
    </row>
    <row r="1227" spans="6:6" x14ac:dyDescent="0.25">
      <c r="F1227" t="s">
        <v>1673</v>
      </c>
    </row>
    <row r="1228" spans="6:6" x14ac:dyDescent="0.25">
      <c r="F1228" t="s">
        <v>1674</v>
      </c>
    </row>
    <row r="1229" spans="6:6" x14ac:dyDescent="0.25">
      <c r="F1229" t="s">
        <v>1675</v>
      </c>
    </row>
    <row r="1230" spans="6:6" x14ac:dyDescent="0.25">
      <c r="F1230" t="s">
        <v>1676</v>
      </c>
    </row>
    <row r="1231" spans="6:6" x14ac:dyDescent="0.25">
      <c r="F1231" t="s">
        <v>1677</v>
      </c>
    </row>
    <row r="1232" spans="6:6" x14ac:dyDescent="0.25">
      <c r="F1232" t="s">
        <v>1678</v>
      </c>
    </row>
    <row r="1233" spans="6:6" x14ac:dyDescent="0.25">
      <c r="F1233" t="s">
        <v>1679</v>
      </c>
    </row>
    <row r="1234" spans="6:6" x14ac:dyDescent="0.25">
      <c r="F1234" t="s">
        <v>1680</v>
      </c>
    </row>
    <row r="1235" spans="6:6" x14ac:dyDescent="0.25">
      <c r="F1235" t="s">
        <v>1681</v>
      </c>
    </row>
    <row r="1236" spans="6:6" x14ac:dyDescent="0.25">
      <c r="F1236" t="s">
        <v>1682</v>
      </c>
    </row>
    <row r="1237" spans="6:6" x14ac:dyDescent="0.25">
      <c r="F1237" t="s">
        <v>1683</v>
      </c>
    </row>
    <row r="1238" spans="6:6" x14ac:dyDescent="0.25">
      <c r="F1238" t="s">
        <v>1684</v>
      </c>
    </row>
    <row r="1239" spans="6:6" x14ac:dyDescent="0.25">
      <c r="F1239" t="s">
        <v>1685</v>
      </c>
    </row>
    <row r="1240" spans="6:6" x14ac:dyDescent="0.25">
      <c r="F1240" t="s">
        <v>1686</v>
      </c>
    </row>
    <row r="1241" spans="6:6" x14ac:dyDescent="0.25">
      <c r="F1241" t="s">
        <v>1687</v>
      </c>
    </row>
    <row r="1242" spans="6:6" x14ac:dyDescent="0.25">
      <c r="F1242" t="s">
        <v>1688</v>
      </c>
    </row>
    <row r="1243" spans="6:6" x14ac:dyDescent="0.25">
      <c r="F1243" t="s">
        <v>1689</v>
      </c>
    </row>
    <row r="1244" spans="6:6" x14ac:dyDescent="0.25">
      <c r="F1244" t="s">
        <v>1690</v>
      </c>
    </row>
    <row r="1245" spans="6:6" x14ac:dyDescent="0.25">
      <c r="F1245" t="s">
        <v>1691</v>
      </c>
    </row>
    <row r="1246" spans="6:6" x14ac:dyDescent="0.25">
      <c r="F1246" t="s">
        <v>1692</v>
      </c>
    </row>
    <row r="1247" spans="6:6" x14ac:dyDescent="0.25">
      <c r="F1247" t="s">
        <v>1693</v>
      </c>
    </row>
    <row r="1248" spans="6:6" x14ac:dyDescent="0.25">
      <c r="F1248" t="s">
        <v>1694</v>
      </c>
    </row>
    <row r="1249" spans="6:6" x14ac:dyDescent="0.25">
      <c r="F1249" t="s">
        <v>1695</v>
      </c>
    </row>
    <row r="1250" spans="6:6" x14ac:dyDescent="0.25">
      <c r="F1250" t="s">
        <v>1696</v>
      </c>
    </row>
    <row r="1251" spans="6:6" x14ac:dyDescent="0.25">
      <c r="F1251" t="s">
        <v>1697</v>
      </c>
    </row>
    <row r="1252" spans="6:6" x14ac:dyDescent="0.25">
      <c r="F1252" t="s">
        <v>1698</v>
      </c>
    </row>
    <row r="1253" spans="6:6" x14ac:dyDescent="0.25">
      <c r="F1253" t="s">
        <v>1699</v>
      </c>
    </row>
    <row r="1254" spans="6:6" x14ac:dyDescent="0.25">
      <c r="F1254" t="s">
        <v>1700</v>
      </c>
    </row>
    <row r="1255" spans="6:6" x14ac:dyDescent="0.25">
      <c r="F1255" t="s">
        <v>1701</v>
      </c>
    </row>
    <row r="1256" spans="6:6" x14ac:dyDescent="0.25">
      <c r="F1256" t="s">
        <v>1702</v>
      </c>
    </row>
    <row r="1257" spans="6:6" x14ac:dyDescent="0.25">
      <c r="F1257" t="s">
        <v>1703</v>
      </c>
    </row>
    <row r="1258" spans="6:6" x14ac:dyDescent="0.25">
      <c r="F1258" t="s">
        <v>1704</v>
      </c>
    </row>
    <row r="1259" spans="6:6" x14ac:dyDescent="0.25">
      <c r="F1259" t="s">
        <v>1705</v>
      </c>
    </row>
    <row r="1260" spans="6:6" x14ac:dyDescent="0.25">
      <c r="F1260" t="s">
        <v>1706</v>
      </c>
    </row>
    <row r="1261" spans="6:6" x14ac:dyDescent="0.25">
      <c r="F1261" t="s">
        <v>1707</v>
      </c>
    </row>
    <row r="1262" spans="6:6" x14ac:dyDescent="0.25">
      <c r="F1262" t="s">
        <v>1708</v>
      </c>
    </row>
    <row r="1263" spans="6:6" x14ac:dyDescent="0.25">
      <c r="F1263" t="s">
        <v>1709</v>
      </c>
    </row>
    <row r="1264" spans="6:6" x14ac:dyDescent="0.25">
      <c r="F1264" t="s">
        <v>1710</v>
      </c>
    </row>
    <row r="1265" spans="6:6" x14ac:dyDescent="0.25">
      <c r="F1265" t="s">
        <v>1711</v>
      </c>
    </row>
    <row r="1266" spans="6:6" x14ac:dyDescent="0.25">
      <c r="F1266" t="s">
        <v>1712</v>
      </c>
    </row>
    <row r="1267" spans="6:6" x14ac:dyDescent="0.25">
      <c r="F1267" t="s">
        <v>1713</v>
      </c>
    </row>
    <row r="1268" spans="6:6" x14ac:dyDescent="0.25">
      <c r="F1268" t="s">
        <v>1714</v>
      </c>
    </row>
    <row r="1269" spans="6:6" x14ac:dyDescent="0.25">
      <c r="F1269" t="s">
        <v>1715</v>
      </c>
    </row>
    <row r="1270" spans="6:6" x14ac:dyDescent="0.25">
      <c r="F1270" t="s">
        <v>1716</v>
      </c>
    </row>
    <row r="1271" spans="6:6" x14ac:dyDescent="0.25">
      <c r="F1271" t="s">
        <v>1717</v>
      </c>
    </row>
    <row r="1272" spans="6:6" x14ac:dyDescent="0.25">
      <c r="F1272" t="s">
        <v>1718</v>
      </c>
    </row>
    <row r="1273" spans="6:6" x14ac:dyDescent="0.25">
      <c r="F1273" t="s">
        <v>1719</v>
      </c>
    </row>
    <row r="1274" spans="6:6" x14ac:dyDescent="0.25">
      <c r="F1274" t="s">
        <v>1720</v>
      </c>
    </row>
    <row r="1275" spans="6:6" x14ac:dyDescent="0.25">
      <c r="F1275" t="s">
        <v>1721</v>
      </c>
    </row>
    <row r="1276" spans="6:6" x14ac:dyDescent="0.25">
      <c r="F1276" t="s">
        <v>1722</v>
      </c>
    </row>
    <row r="1277" spans="6:6" x14ac:dyDescent="0.25">
      <c r="F1277" t="s">
        <v>1723</v>
      </c>
    </row>
    <row r="1278" spans="6:6" x14ac:dyDescent="0.25">
      <c r="F1278" t="s">
        <v>1724</v>
      </c>
    </row>
    <row r="1279" spans="6:6" x14ac:dyDescent="0.25">
      <c r="F1279" t="s">
        <v>1725</v>
      </c>
    </row>
    <row r="1280" spans="6:6" x14ac:dyDescent="0.25">
      <c r="F1280" t="s">
        <v>1726</v>
      </c>
    </row>
    <row r="1281" spans="6:6" x14ac:dyDescent="0.25">
      <c r="F1281" t="s">
        <v>1727</v>
      </c>
    </row>
    <row r="1282" spans="6:6" x14ac:dyDescent="0.25">
      <c r="F1282" t="s">
        <v>1728</v>
      </c>
    </row>
    <row r="1283" spans="6:6" x14ac:dyDescent="0.25">
      <c r="F1283" t="s">
        <v>1729</v>
      </c>
    </row>
    <row r="1284" spans="6:6" x14ac:dyDescent="0.25">
      <c r="F1284" t="s">
        <v>1730</v>
      </c>
    </row>
    <row r="1285" spans="6:6" x14ac:dyDescent="0.25">
      <c r="F1285" t="s">
        <v>1731</v>
      </c>
    </row>
    <row r="1286" spans="6:6" x14ac:dyDescent="0.25">
      <c r="F1286" t="s">
        <v>1732</v>
      </c>
    </row>
    <row r="1287" spans="6:6" x14ac:dyDescent="0.25">
      <c r="F1287" t="s">
        <v>1733</v>
      </c>
    </row>
    <row r="1288" spans="6:6" x14ac:dyDescent="0.25">
      <c r="F1288" t="s">
        <v>1734</v>
      </c>
    </row>
    <row r="1289" spans="6:6" x14ac:dyDescent="0.25">
      <c r="F1289" t="s">
        <v>1735</v>
      </c>
    </row>
    <row r="1290" spans="6:6" x14ac:dyDescent="0.25">
      <c r="F1290" t="s">
        <v>1736</v>
      </c>
    </row>
    <row r="1291" spans="6:6" x14ac:dyDescent="0.25">
      <c r="F1291" t="s">
        <v>1737</v>
      </c>
    </row>
    <row r="1292" spans="6:6" x14ac:dyDescent="0.25">
      <c r="F1292" t="s">
        <v>1738</v>
      </c>
    </row>
    <row r="1293" spans="6:6" x14ac:dyDescent="0.25">
      <c r="F1293" t="s">
        <v>1739</v>
      </c>
    </row>
    <row r="1294" spans="6:6" x14ac:dyDescent="0.25">
      <c r="F1294" t="s">
        <v>1740</v>
      </c>
    </row>
    <row r="1295" spans="6:6" x14ac:dyDescent="0.25">
      <c r="F1295" t="s">
        <v>1741</v>
      </c>
    </row>
    <row r="1296" spans="6:6" x14ac:dyDescent="0.25">
      <c r="F1296" t="s">
        <v>1742</v>
      </c>
    </row>
    <row r="1297" spans="6:6" x14ac:dyDescent="0.25">
      <c r="F1297" t="s">
        <v>1743</v>
      </c>
    </row>
    <row r="1298" spans="6:6" x14ac:dyDescent="0.25">
      <c r="F1298" t="s">
        <v>1744</v>
      </c>
    </row>
    <row r="1299" spans="6:6" x14ac:dyDescent="0.25">
      <c r="F1299" t="s">
        <v>1745</v>
      </c>
    </row>
    <row r="1300" spans="6:6" x14ac:dyDescent="0.25">
      <c r="F1300" t="s">
        <v>1746</v>
      </c>
    </row>
    <row r="1301" spans="6:6" x14ac:dyDescent="0.25">
      <c r="F1301" t="s">
        <v>1747</v>
      </c>
    </row>
    <row r="1302" spans="6:6" x14ac:dyDescent="0.25">
      <c r="F1302" t="s">
        <v>1748</v>
      </c>
    </row>
    <row r="1303" spans="6:6" x14ac:dyDescent="0.25">
      <c r="F1303" t="s">
        <v>1749</v>
      </c>
    </row>
    <row r="1304" spans="6:6" x14ac:dyDescent="0.25">
      <c r="F1304" t="s">
        <v>1750</v>
      </c>
    </row>
    <row r="1305" spans="6:6" x14ac:dyDescent="0.25">
      <c r="F1305" t="s">
        <v>1751</v>
      </c>
    </row>
    <row r="1306" spans="6:6" x14ac:dyDescent="0.25">
      <c r="F1306" t="s">
        <v>1752</v>
      </c>
    </row>
    <row r="1307" spans="6:6" x14ac:dyDescent="0.25">
      <c r="F1307" t="s">
        <v>1753</v>
      </c>
    </row>
    <row r="1308" spans="6:6" x14ac:dyDescent="0.25">
      <c r="F1308" t="s">
        <v>44</v>
      </c>
    </row>
    <row r="1309" spans="6:6" x14ac:dyDescent="0.25">
      <c r="F1309" t="s">
        <v>1754</v>
      </c>
    </row>
    <row r="1310" spans="6:6" x14ac:dyDescent="0.25">
      <c r="F1310" t="s">
        <v>42</v>
      </c>
    </row>
    <row r="1311" spans="6:6" x14ac:dyDescent="0.25">
      <c r="F1311" t="s">
        <v>1755</v>
      </c>
    </row>
    <row r="1312" spans="6:6" x14ac:dyDescent="0.25">
      <c r="F1312" t="s">
        <v>1756</v>
      </c>
    </row>
    <row r="1313" spans="6:6" x14ac:dyDescent="0.25">
      <c r="F1313" t="s">
        <v>1757</v>
      </c>
    </row>
    <row r="1314" spans="6:6" x14ac:dyDescent="0.25">
      <c r="F1314" t="s">
        <v>1758</v>
      </c>
    </row>
    <row r="1315" spans="6:6" x14ac:dyDescent="0.25">
      <c r="F1315" t="s">
        <v>1759</v>
      </c>
    </row>
    <row r="1316" spans="6:6" x14ac:dyDescent="0.25">
      <c r="F1316" t="s">
        <v>1760</v>
      </c>
    </row>
    <row r="1317" spans="6:6" x14ac:dyDescent="0.25">
      <c r="F1317" t="s">
        <v>202</v>
      </c>
    </row>
    <row r="1318" spans="6:6" x14ac:dyDescent="0.25">
      <c r="F1318" t="s">
        <v>1761</v>
      </c>
    </row>
    <row r="1319" spans="6:6" x14ac:dyDescent="0.25">
      <c r="F1319" t="s">
        <v>1762</v>
      </c>
    </row>
    <row r="1320" spans="6:6" x14ac:dyDescent="0.25">
      <c r="F1320" t="s">
        <v>1763</v>
      </c>
    </row>
    <row r="1321" spans="6:6" x14ac:dyDescent="0.25">
      <c r="F1321" t="s">
        <v>1764</v>
      </c>
    </row>
    <row r="1322" spans="6:6" x14ac:dyDescent="0.25">
      <c r="F1322" t="s">
        <v>1765</v>
      </c>
    </row>
    <row r="1323" spans="6:6" x14ac:dyDescent="0.25">
      <c r="F1323" t="s">
        <v>1766</v>
      </c>
    </row>
    <row r="1324" spans="6:6" x14ac:dyDescent="0.25">
      <c r="F1324" t="s">
        <v>1767</v>
      </c>
    </row>
    <row r="1325" spans="6:6" x14ac:dyDescent="0.25">
      <c r="F1325" t="s">
        <v>1768</v>
      </c>
    </row>
    <row r="1326" spans="6:6" x14ac:dyDescent="0.25">
      <c r="F1326" t="s">
        <v>1769</v>
      </c>
    </row>
    <row r="1327" spans="6:6" x14ac:dyDescent="0.25">
      <c r="F1327" t="s">
        <v>1770</v>
      </c>
    </row>
    <row r="1328" spans="6:6" x14ac:dyDescent="0.25">
      <c r="F1328" t="s">
        <v>1771</v>
      </c>
    </row>
    <row r="1329" spans="6:6" x14ac:dyDescent="0.25">
      <c r="F1329" t="s">
        <v>1772</v>
      </c>
    </row>
    <row r="1330" spans="6:6" x14ac:dyDescent="0.25">
      <c r="F1330" t="s">
        <v>1773</v>
      </c>
    </row>
    <row r="1331" spans="6:6" x14ac:dyDescent="0.25">
      <c r="F1331" t="s">
        <v>1774</v>
      </c>
    </row>
    <row r="1332" spans="6:6" x14ac:dyDescent="0.25">
      <c r="F1332" t="s">
        <v>1775</v>
      </c>
    </row>
    <row r="1333" spans="6:6" x14ac:dyDescent="0.25">
      <c r="F1333" t="s">
        <v>1776</v>
      </c>
    </row>
    <row r="1334" spans="6:6" x14ac:dyDescent="0.25">
      <c r="F1334" t="s">
        <v>1777</v>
      </c>
    </row>
    <row r="1335" spans="6:6" x14ac:dyDescent="0.25">
      <c r="F1335" t="s">
        <v>1778</v>
      </c>
    </row>
    <row r="1336" spans="6:6" x14ac:dyDescent="0.25">
      <c r="F1336" t="s">
        <v>1779</v>
      </c>
    </row>
    <row r="1337" spans="6:6" x14ac:dyDescent="0.25">
      <c r="F1337" t="s">
        <v>1780</v>
      </c>
    </row>
    <row r="1338" spans="6:6" x14ac:dyDescent="0.25">
      <c r="F1338" t="s">
        <v>1781</v>
      </c>
    </row>
    <row r="1339" spans="6:6" x14ac:dyDescent="0.25">
      <c r="F1339" t="s">
        <v>1782</v>
      </c>
    </row>
    <row r="1340" spans="6:6" x14ac:dyDescent="0.25">
      <c r="F1340" t="s">
        <v>1783</v>
      </c>
    </row>
    <row r="1341" spans="6:6" x14ac:dyDescent="0.25">
      <c r="F1341" t="s">
        <v>1784</v>
      </c>
    </row>
    <row r="1342" spans="6:6" x14ac:dyDescent="0.25">
      <c r="F1342" t="s">
        <v>1785</v>
      </c>
    </row>
    <row r="1343" spans="6:6" x14ac:dyDescent="0.25">
      <c r="F1343" t="s">
        <v>936</v>
      </c>
    </row>
    <row r="1344" spans="6:6" x14ac:dyDescent="0.25">
      <c r="F1344" t="s">
        <v>1786</v>
      </c>
    </row>
    <row r="1345" spans="6:6" x14ac:dyDescent="0.25">
      <c r="F1345" t="s">
        <v>1787</v>
      </c>
    </row>
    <row r="1346" spans="6:6" x14ac:dyDescent="0.25">
      <c r="F1346" t="s">
        <v>1788</v>
      </c>
    </row>
    <row r="1347" spans="6:6" x14ac:dyDescent="0.25">
      <c r="F1347" t="s">
        <v>1789</v>
      </c>
    </row>
    <row r="1348" spans="6:6" x14ac:dyDescent="0.25">
      <c r="F1348" t="s">
        <v>1790</v>
      </c>
    </row>
    <row r="1349" spans="6:6" x14ac:dyDescent="0.25">
      <c r="F1349" t="s">
        <v>69</v>
      </c>
    </row>
    <row r="1350" spans="6:6" x14ac:dyDescent="0.25">
      <c r="F1350" t="s">
        <v>1791</v>
      </c>
    </row>
    <row r="1351" spans="6:6" x14ac:dyDescent="0.25">
      <c r="F1351" t="s">
        <v>1792</v>
      </c>
    </row>
    <row r="1352" spans="6:6" x14ac:dyDescent="0.25">
      <c r="F1352" t="s">
        <v>1793</v>
      </c>
    </row>
    <row r="1353" spans="6:6" x14ac:dyDescent="0.25">
      <c r="F1353" t="s">
        <v>1794</v>
      </c>
    </row>
    <row r="1354" spans="6:6" x14ac:dyDescent="0.25">
      <c r="F1354" t="s">
        <v>1795</v>
      </c>
    </row>
    <row r="1355" spans="6:6" x14ac:dyDescent="0.25">
      <c r="F1355" t="s">
        <v>112</v>
      </c>
    </row>
    <row r="1356" spans="6:6" x14ac:dyDescent="0.25">
      <c r="F1356" t="s">
        <v>1796</v>
      </c>
    </row>
    <row r="1357" spans="6:6" x14ac:dyDescent="0.25">
      <c r="F1357" t="s">
        <v>1797</v>
      </c>
    </row>
    <row r="1358" spans="6:6" x14ac:dyDescent="0.25">
      <c r="F1358" t="s">
        <v>1798</v>
      </c>
    </row>
    <row r="1359" spans="6:6" x14ac:dyDescent="0.25">
      <c r="F1359" t="s">
        <v>48</v>
      </c>
    </row>
    <row r="1360" spans="6:6" x14ac:dyDescent="0.25">
      <c r="F1360" t="s">
        <v>1799</v>
      </c>
    </row>
    <row r="1361" spans="6:6" x14ac:dyDescent="0.25">
      <c r="F1361" t="s">
        <v>1800</v>
      </c>
    </row>
    <row r="1362" spans="6:6" x14ac:dyDescent="0.25">
      <c r="F1362" t="s">
        <v>1801</v>
      </c>
    </row>
    <row r="1363" spans="6:6" x14ac:dyDescent="0.25">
      <c r="F1363" t="s">
        <v>1802</v>
      </c>
    </row>
    <row r="1364" spans="6:6" x14ac:dyDescent="0.25">
      <c r="F1364" t="s">
        <v>1803</v>
      </c>
    </row>
    <row r="1365" spans="6:6" x14ac:dyDescent="0.25">
      <c r="F1365" t="s">
        <v>1804</v>
      </c>
    </row>
    <row r="1366" spans="6:6" x14ac:dyDescent="0.25">
      <c r="F1366" t="s">
        <v>1805</v>
      </c>
    </row>
    <row r="1367" spans="6:6" x14ac:dyDescent="0.25">
      <c r="F1367" t="s">
        <v>1806</v>
      </c>
    </row>
    <row r="1368" spans="6:6" x14ac:dyDescent="0.25">
      <c r="F1368" t="s">
        <v>1807</v>
      </c>
    </row>
    <row r="1369" spans="6:6" x14ac:dyDescent="0.25">
      <c r="F1369" t="s">
        <v>1808</v>
      </c>
    </row>
    <row r="1370" spans="6:6" x14ac:dyDescent="0.25">
      <c r="F1370" t="s">
        <v>1809</v>
      </c>
    </row>
    <row r="1371" spans="6:6" x14ac:dyDescent="0.25">
      <c r="F1371" t="s">
        <v>1810</v>
      </c>
    </row>
    <row r="1372" spans="6:6" x14ac:dyDescent="0.25">
      <c r="F1372" t="s">
        <v>1811</v>
      </c>
    </row>
    <row r="1373" spans="6:6" x14ac:dyDescent="0.25">
      <c r="F1373" t="s">
        <v>1812</v>
      </c>
    </row>
    <row r="1374" spans="6:6" x14ac:dyDescent="0.25">
      <c r="F1374" t="s">
        <v>4</v>
      </c>
    </row>
    <row r="1375" spans="6:6" x14ac:dyDescent="0.25">
      <c r="F1375" t="s">
        <v>1813</v>
      </c>
    </row>
    <row r="1376" spans="6:6" x14ac:dyDescent="0.25">
      <c r="F1376" t="s">
        <v>1814</v>
      </c>
    </row>
    <row r="1377" spans="6:6" x14ac:dyDescent="0.25">
      <c r="F1377" t="s">
        <v>1815</v>
      </c>
    </row>
    <row r="1378" spans="6:6" x14ac:dyDescent="0.25">
      <c r="F1378" t="s">
        <v>1816</v>
      </c>
    </row>
    <row r="1379" spans="6:6" x14ac:dyDescent="0.25">
      <c r="F1379" t="s">
        <v>1817</v>
      </c>
    </row>
    <row r="1380" spans="6:6" x14ac:dyDescent="0.25">
      <c r="F1380" t="s">
        <v>1818</v>
      </c>
    </row>
    <row r="1381" spans="6:6" x14ac:dyDescent="0.25">
      <c r="F1381" t="s">
        <v>1819</v>
      </c>
    </row>
    <row r="1382" spans="6:6" x14ac:dyDescent="0.25">
      <c r="F1382" t="s">
        <v>1820</v>
      </c>
    </row>
    <row r="1383" spans="6:6" x14ac:dyDescent="0.25">
      <c r="F1383" t="s">
        <v>1821</v>
      </c>
    </row>
    <row r="1384" spans="6:6" x14ac:dyDescent="0.25">
      <c r="F1384" t="s">
        <v>1822</v>
      </c>
    </row>
    <row r="1385" spans="6:6" x14ac:dyDescent="0.25">
      <c r="F1385" t="s">
        <v>1823</v>
      </c>
    </row>
    <row r="1386" spans="6:6" x14ac:dyDescent="0.25">
      <c r="F1386" t="s">
        <v>1824</v>
      </c>
    </row>
    <row r="1387" spans="6:6" x14ac:dyDescent="0.25">
      <c r="F1387" t="s">
        <v>1825</v>
      </c>
    </row>
    <row r="1388" spans="6:6" x14ac:dyDescent="0.25">
      <c r="F1388" t="s">
        <v>1826</v>
      </c>
    </row>
    <row r="1389" spans="6:6" x14ac:dyDescent="0.25">
      <c r="F1389" t="s">
        <v>1827</v>
      </c>
    </row>
    <row r="1390" spans="6:6" x14ac:dyDescent="0.25">
      <c r="F1390" t="s">
        <v>1828</v>
      </c>
    </row>
    <row r="1391" spans="6:6" x14ac:dyDescent="0.25">
      <c r="F1391" t="s">
        <v>1829</v>
      </c>
    </row>
    <row r="1392" spans="6:6" x14ac:dyDescent="0.25">
      <c r="F1392" t="s">
        <v>1830</v>
      </c>
    </row>
    <row r="1393" spans="6:6" x14ac:dyDescent="0.25">
      <c r="F1393" t="s">
        <v>1831</v>
      </c>
    </row>
    <row r="1394" spans="6:6" x14ac:dyDescent="0.25">
      <c r="F1394" t="s">
        <v>1832</v>
      </c>
    </row>
    <row r="1395" spans="6:6" x14ac:dyDescent="0.25">
      <c r="F1395" t="s">
        <v>1833</v>
      </c>
    </row>
    <row r="1396" spans="6:6" x14ac:dyDescent="0.25">
      <c r="F1396" t="s">
        <v>1834</v>
      </c>
    </row>
    <row r="1397" spans="6:6" x14ac:dyDescent="0.25">
      <c r="F1397" t="s">
        <v>1835</v>
      </c>
    </row>
    <row r="1398" spans="6:6" x14ac:dyDescent="0.25">
      <c r="F1398" t="s">
        <v>1836</v>
      </c>
    </row>
    <row r="1399" spans="6:6" x14ac:dyDescent="0.25">
      <c r="F1399" t="s">
        <v>1837</v>
      </c>
    </row>
    <row r="1400" spans="6:6" x14ac:dyDescent="0.25">
      <c r="F1400" t="s">
        <v>1838</v>
      </c>
    </row>
    <row r="1401" spans="6:6" x14ac:dyDescent="0.25">
      <c r="F1401" t="s">
        <v>1839</v>
      </c>
    </row>
    <row r="1402" spans="6:6" x14ac:dyDescent="0.25">
      <c r="F1402" t="s">
        <v>1840</v>
      </c>
    </row>
    <row r="1403" spans="6:6" x14ac:dyDescent="0.25">
      <c r="F1403" t="s">
        <v>1841</v>
      </c>
    </row>
    <row r="1404" spans="6:6" x14ac:dyDescent="0.25">
      <c r="F1404" t="s">
        <v>1842</v>
      </c>
    </row>
    <row r="1405" spans="6:6" x14ac:dyDescent="0.25">
      <c r="F1405" t="s">
        <v>1843</v>
      </c>
    </row>
    <row r="1406" spans="6:6" x14ac:dyDescent="0.25">
      <c r="F1406" t="s">
        <v>1844</v>
      </c>
    </row>
    <row r="1407" spans="6:6" x14ac:dyDescent="0.25">
      <c r="F1407" t="s">
        <v>1845</v>
      </c>
    </row>
    <row r="1408" spans="6:6" x14ac:dyDescent="0.25">
      <c r="F1408" t="s">
        <v>1846</v>
      </c>
    </row>
    <row r="1409" spans="6:6" x14ac:dyDescent="0.25">
      <c r="F1409" t="s">
        <v>1847</v>
      </c>
    </row>
    <row r="1410" spans="6:6" x14ac:dyDescent="0.25">
      <c r="F1410" t="s">
        <v>1848</v>
      </c>
    </row>
    <row r="1411" spans="6:6" x14ac:dyDescent="0.25">
      <c r="F1411" t="s">
        <v>1849</v>
      </c>
    </row>
    <row r="1412" spans="6:6" x14ac:dyDescent="0.25">
      <c r="F1412" t="s">
        <v>1850</v>
      </c>
    </row>
    <row r="1413" spans="6:6" x14ac:dyDescent="0.25">
      <c r="F1413" t="s">
        <v>1851</v>
      </c>
    </row>
    <row r="1414" spans="6:6" x14ac:dyDescent="0.25">
      <c r="F1414" t="s">
        <v>1852</v>
      </c>
    </row>
    <row r="1415" spans="6:6" x14ac:dyDescent="0.25">
      <c r="F1415" t="s">
        <v>1853</v>
      </c>
    </row>
    <row r="1416" spans="6:6" x14ac:dyDescent="0.25">
      <c r="F1416" t="s">
        <v>1854</v>
      </c>
    </row>
    <row r="1417" spans="6:6" x14ac:dyDescent="0.25">
      <c r="F1417" t="s">
        <v>1855</v>
      </c>
    </row>
    <row r="1418" spans="6:6" x14ac:dyDescent="0.25">
      <c r="F1418" t="s">
        <v>1856</v>
      </c>
    </row>
    <row r="1419" spans="6:6" x14ac:dyDescent="0.25">
      <c r="F1419" t="s">
        <v>1857</v>
      </c>
    </row>
    <row r="1420" spans="6:6" x14ac:dyDescent="0.25">
      <c r="F1420" t="s">
        <v>1858</v>
      </c>
    </row>
    <row r="1421" spans="6:6" x14ac:dyDescent="0.25">
      <c r="F1421" t="s">
        <v>1859</v>
      </c>
    </row>
    <row r="1422" spans="6:6" x14ac:dyDescent="0.25">
      <c r="F1422" t="s">
        <v>989</v>
      </c>
    </row>
    <row r="1423" spans="6:6" x14ac:dyDescent="0.25">
      <c r="F1423" t="s">
        <v>1860</v>
      </c>
    </row>
    <row r="1424" spans="6:6" x14ac:dyDescent="0.25">
      <c r="F1424" t="s">
        <v>1861</v>
      </c>
    </row>
    <row r="1425" spans="6:6" x14ac:dyDescent="0.25">
      <c r="F1425" t="s">
        <v>1862</v>
      </c>
    </row>
    <row r="1426" spans="6:6" x14ac:dyDescent="0.25">
      <c r="F1426" t="s">
        <v>1863</v>
      </c>
    </row>
    <row r="1427" spans="6:6" x14ac:dyDescent="0.25">
      <c r="F1427" t="s">
        <v>96</v>
      </c>
    </row>
    <row r="1428" spans="6:6" x14ac:dyDescent="0.25">
      <c r="F1428" t="s">
        <v>1864</v>
      </c>
    </row>
    <row r="1429" spans="6:6" x14ac:dyDescent="0.25">
      <c r="F1429" t="s">
        <v>1865</v>
      </c>
    </row>
    <row r="1430" spans="6:6" x14ac:dyDescent="0.25">
      <c r="F1430" t="s">
        <v>1866</v>
      </c>
    </row>
    <row r="1431" spans="6:6" x14ac:dyDescent="0.25">
      <c r="F1431" t="s">
        <v>1867</v>
      </c>
    </row>
    <row r="1432" spans="6:6" x14ac:dyDescent="0.25">
      <c r="F1432" t="s">
        <v>1868</v>
      </c>
    </row>
    <row r="1433" spans="6:6" x14ac:dyDescent="0.25">
      <c r="F1433" t="s">
        <v>1869</v>
      </c>
    </row>
    <row r="1434" spans="6:6" x14ac:dyDescent="0.25">
      <c r="F1434" t="s">
        <v>1870</v>
      </c>
    </row>
    <row r="1435" spans="6:6" x14ac:dyDescent="0.25">
      <c r="F1435" t="s">
        <v>909</v>
      </c>
    </row>
    <row r="1436" spans="6:6" x14ac:dyDescent="0.25">
      <c r="F1436" t="s">
        <v>1871</v>
      </c>
    </row>
    <row r="1437" spans="6:6" x14ac:dyDescent="0.25">
      <c r="F1437" t="s">
        <v>1872</v>
      </c>
    </row>
    <row r="1438" spans="6:6" x14ac:dyDescent="0.25">
      <c r="F1438" t="s">
        <v>1873</v>
      </c>
    </row>
    <row r="1439" spans="6:6" x14ac:dyDescent="0.25">
      <c r="F1439" t="s">
        <v>1874</v>
      </c>
    </row>
    <row r="1440" spans="6:6" x14ac:dyDescent="0.25">
      <c r="F1440" t="s">
        <v>1875</v>
      </c>
    </row>
    <row r="1441" spans="6:6" x14ac:dyDescent="0.25">
      <c r="F1441" t="s">
        <v>1876</v>
      </c>
    </row>
    <row r="1442" spans="6:6" x14ac:dyDescent="0.25">
      <c r="F1442" t="s">
        <v>1877</v>
      </c>
    </row>
    <row r="1443" spans="6:6" x14ac:dyDescent="0.25">
      <c r="F1443" t="s">
        <v>1878</v>
      </c>
    </row>
    <row r="1444" spans="6:6" x14ac:dyDescent="0.25">
      <c r="F1444" t="s">
        <v>1879</v>
      </c>
    </row>
    <row r="1445" spans="6:6" x14ac:dyDescent="0.25">
      <c r="F1445" t="s">
        <v>1880</v>
      </c>
    </row>
    <row r="1446" spans="6:6" x14ac:dyDescent="0.25">
      <c r="F1446" t="s">
        <v>1881</v>
      </c>
    </row>
    <row r="1447" spans="6:6" x14ac:dyDescent="0.25">
      <c r="F1447" t="s">
        <v>1882</v>
      </c>
    </row>
    <row r="1448" spans="6:6" x14ac:dyDescent="0.25">
      <c r="F1448" t="s">
        <v>1883</v>
      </c>
    </row>
    <row r="1449" spans="6:6" x14ac:dyDescent="0.25">
      <c r="F1449" t="s">
        <v>1884</v>
      </c>
    </row>
    <row r="1450" spans="6:6" x14ac:dyDescent="0.25">
      <c r="F1450" t="s">
        <v>1885</v>
      </c>
    </row>
    <row r="1451" spans="6:6" x14ac:dyDescent="0.25">
      <c r="F1451" t="s">
        <v>1886</v>
      </c>
    </row>
    <row r="1452" spans="6:6" x14ac:dyDescent="0.25">
      <c r="F1452" t="s">
        <v>1887</v>
      </c>
    </row>
    <row r="1453" spans="6:6" x14ac:dyDescent="0.25">
      <c r="F1453" t="s">
        <v>1888</v>
      </c>
    </row>
    <row r="1454" spans="6:6" x14ac:dyDescent="0.25">
      <c r="F1454" t="s">
        <v>1889</v>
      </c>
    </row>
    <row r="1455" spans="6:6" x14ac:dyDescent="0.25">
      <c r="F1455" t="s">
        <v>1890</v>
      </c>
    </row>
    <row r="1456" spans="6:6" x14ac:dyDescent="0.25">
      <c r="F1456" t="s">
        <v>1891</v>
      </c>
    </row>
    <row r="1457" spans="6:6" x14ac:dyDescent="0.25">
      <c r="F1457" t="s">
        <v>1892</v>
      </c>
    </row>
    <row r="1458" spans="6:6" x14ac:dyDescent="0.25">
      <c r="F1458" t="s">
        <v>1893</v>
      </c>
    </row>
    <row r="1459" spans="6:6" x14ac:dyDescent="0.25">
      <c r="F1459" t="s">
        <v>1894</v>
      </c>
    </row>
    <row r="1460" spans="6:6" x14ac:dyDescent="0.25">
      <c r="F1460" t="s">
        <v>1895</v>
      </c>
    </row>
    <row r="1461" spans="6:6" x14ac:dyDescent="0.25">
      <c r="F1461" t="s">
        <v>1896</v>
      </c>
    </row>
    <row r="1462" spans="6:6" x14ac:dyDescent="0.25">
      <c r="F1462" t="s">
        <v>1897</v>
      </c>
    </row>
    <row r="1463" spans="6:6" x14ac:dyDescent="0.25">
      <c r="F1463" t="s">
        <v>1898</v>
      </c>
    </row>
    <row r="1464" spans="6:6" x14ac:dyDescent="0.25">
      <c r="F1464" t="s">
        <v>1899</v>
      </c>
    </row>
    <row r="1465" spans="6:6" x14ac:dyDescent="0.25">
      <c r="F1465" t="s">
        <v>1900</v>
      </c>
    </row>
    <row r="1466" spans="6:6" x14ac:dyDescent="0.25">
      <c r="F1466" t="s">
        <v>1901</v>
      </c>
    </row>
    <row r="1467" spans="6:6" x14ac:dyDescent="0.25">
      <c r="F1467" t="s">
        <v>1902</v>
      </c>
    </row>
    <row r="1468" spans="6:6" x14ac:dyDescent="0.25">
      <c r="F1468" t="s">
        <v>1903</v>
      </c>
    </row>
    <row r="1469" spans="6:6" x14ac:dyDescent="0.25">
      <c r="F1469" t="s">
        <v>1904</v>
      </c>
    </row>
    <row r="1470" spans="6:6" x14ac:dyDescent="0.25">
      <c r="F1470" t="s">
        <v>1905</v>
      </c>
    </row>
    <row r="1471" spans="6:6" x14ac:dyDescent="0.25">
      <c r="F1471" t="s">
        <v>1906</v>
      </c>
    </row>
    <row r="1472" spans="6:6" x14ac:dyDescent="0.25">
      <c r="F1472" t="s">
        <v>1907</v>
      </c>
    </row>
    <row r="1473" spans="6:6" x14ac:dyDescent="0.25">
      <c r="F1473" t="s">
        <v>1908</v>
      </c>
    </row>
    <row r="1474" spans="6:6" x14ac:dyDescent="0.25">
      <c r="F1474" t="s">
        <v>1909</v>
      </c>
    </row>
    <row r="1475" spans="6:6" x14ac:dyDescent="0.25">
      <c r="F1475" t="s">
        <v>1910</v>
      </c>
    </row>
    <row r="1476" spans="6:6" x14ac:dyDescent="0.25">
      <c r="F1476" t="s">
        <v>1911</v>
      </c>
    </row>
    <row r="1477" spans="6:6" x14ac:dyDescent="0.25">
      <c r="F1477" t="s">
        <v>1912</v>
      </c>
    </row>
    <row r="1478" spans="6:6" x14ac:dyDescent="0.25">
      <c r="F1478" t="s">
        <v>1913</v>
      </c>
    </row>
    <row r="1479" spans="6:6" x14ac:dyDescent="0.25">
      <c r="F1479" t="s">
        <v>1914</v>
      </c>
    </row>
    <row r="1480" spans="6:6" x14ac:dyDescent="0.25">
      <c r="F1480" t="s">
        <v>1915</v>
      </c>
    </row>
    <row r="1481" spans="6:6" x14ac:dyDescent="0.25">
      <c r="F1481" t="s">
        <v>1916</v>
      </c>
    </row>
    <row r="1482" spans="6:6" x14ac:dyDescent="0.25">
      <c r="F1482" t="s">
        <v>1917</v>
      </c>
    </row>
    <row r="1483" spans="6:6" x14ac:dyDescent="0.25">
      <c r="F1483" t="s">
        <v>1918</v>
      </c>
    </row>
    <row r="1484" spans="6:6" x14ac:dyDescent="0.25">
      <c r="F1484" t="s">
        <v>1919</v>
      </c>
    </row>
    <row r="1485" spans="6:6" x14ac:dyDescent="0.25">
      <c r="F1485" t="s">
        <v>1920</v>
      </c>
    </row>
    <row r="1486" spans="6:6" x14ac:dyDescent="0.25">
      <c r="F1486" t="s">
        <v>1921</v>
      </c>
    </row>
    <row r="1487" spans="6:6" x14ac:dyDescent="0.25">
      <c r="F1487" t="s">
        <v>1922</v>
      </c>
    </row>
    <row r="1488" spans="6:6" x14ac:dyDescent="0.25">
      <c r="F1488" t="s">
        <v>1923</v>
      </c>
    </row>
    <row r="1489" spans="6:6" x14ac:dyDescent="0.25">
      <c r="F1489" t="s">
        <v>1924</v>
      </c>
    </row>
    <row r="1490" spans="6:6" x14ac:dyDescent="0.25">
      <c r="F1490" t="s">
        <v>1925</v>
      </c>
    </row>
    <row r="1491" spans="6:6" x14ac:dyDescent="0.25">
      <c r="F1491" t="s">
        <v>1926</v>
      </c>
    </row>
    <row r="1492" spans="6:6" x14ac:dyDescent="0.25">
      <c r="F1492" t="s">
        <v>1927</v>
      </c>
    </row>
    <row r="1493" spans="6:6" x14ac:dyDescent="0.25">
      <c r="F1493" t="s">
        <v>1928</v>
      </c>
    </row>
    <row r="1494" spans="6:6" x14ac:dyDescent="0.25">
      <c r="F1494" t="s">
        <v>1929</v>
      </c>
    </row>
    <row r="1495" spans="6:6" x14ac:dyDescent="0.25">
      <c r="F1495" t="s">
        <v>1930</v>
      </c>
    </row>
    <row r="1496" spans="6:6" x14ac:dyDescent="0.25">
      <c r="F1496" t="s">
        <v>1931</v>
      </c>
    </row>
    <row r="1497" spans="6:6" x14ac:dyDescent="0.25">
      <c r="F1497" t="s">
        <v>1932</v>
      </c>
    </row>
    <row r="1498" spans="6:6" x14ac:dyDescent="0.25">
      <c r="F1498" t="s">
        <v>1933</v>
      </c>
    </row>
    <row r="1499" spans="6:6" x14ac:dyDescent="0.25">
      <c r="F1499" t="s">
        <v>1934</v>
      </c>
    </row>
    <row r="1500" spans="6:6" x14ac:dyDescent="0.25">
      <c r="F1500" t="s">
        <v>1935</v>
      </c>
    </row>
    <row r="1501" spans="6:6" x14ac:dyDescent="0.25">
      <c r="F1501" t="s">
        <v>1936</v>
      </c>
    </row>
    <row r="1502" spans="6:6" x14ac:dyDescent="0.25">
      <c r="F1502" t="s">
        <v>1937</v>
      </c>
    </row>
    <row r="1503" spans="6:6" x14ac:dyDescent="0.25">
      <c r="F1503" t="s">
        <v>1938</v>
      </c>
    </row>
    <row r="1504" spans="6:6" x14ac:dyDescent="0.25">
      <c r="F1504" t="s">
        <v>1939</v>
      </c>
    </row>
    <row r="1505" spans="6:6" x14ac:dyDescent="0.25">
      <c r="F1505" t="s">
        <v>1940</v>
      </c>
    </row>
    <row r="1506" spans="6:6" x14ac:dyDescent="0.25">
      <c r="F1506" t="s">
        <v>1941</v>
      </c>
    </row>
    <row r="1507" spans="6:6" x14ac:dyDescent="0.25">
      <c r="F1507" t="s">
        <v>1942</v>
      </c>
    </row>
    <row r="1508" spans="6:6" x14ac:dyDescent="0.25">
      <c r="F1508" t="s">
        <v>1943</v>
      </c>
    </row>
    <row r="1509" spans="6:6" x14ac:dyDescent="0.25">
      <c r="F1509" t="s">
        <v>1944</v>
      </c>
    </row>
    <row r="1510" spans="6:6" x14ac:dyDescent="0.25">
      <c r="F1510" t="s">
        <v>1945</v>
      </c>
    </row>
    <row r="1511" spans="6:6" x14ac:dyDescent="0.25">
      <c r="F1511" t="s">
        <v>1946</v>
      </c>
    </row>
    <row r="1512" spans="6:6" x14ac:dyDescent="0.25">
      <c r="F1512" t="s">
        <v>1947</v>
      </c>
    </row>
    <row r="1513" spans="6:6" x14ac:dyDescent="0.25">
      <c r="F1513" t="s">
        <v>1948</v>
      </c>
    </row>
    <row r="1514" spans="6:6" x14ac:dyDescent="0.25">
      <c r="F1514" t="s">
        <v>1949</v>
      </c>
    </row>
    <row r="1515" spans="6:6" x14ac:dyDescent="0.25">
      <c r="F1515" t="s">
        <v>1950</v>
      </c>
    </row>
    <row r="1516" spans="6:6" x14ac:dyDescent="0.25">
      <c r="F1516" t="s">
        <v>1951</v>
      </c>
    </row>
    <row r="1517" spans="6:6" x14ac:dyDescent="0.25">
      <c r="F1517" t="s">
        <v>1952</v>
      </c>
    </row>
    <row r="1518" spans="6:6" x14ac:dyDescent="0.25">
      <c r="F1518" t="s">
        <v>1953</v>
      </c>
    </row>
    <row r="1519" spans="6:6" x14ac:dyDescent="0.25">
      <c r="F1519" t="s">
        <v>1954</v>
      </c>
    </row>
    <row r="1520" spans="6:6" x14ac:dyDescent="0.25">
      <c r="F1520" t="s">
        <v>1955</v>
      </c>
    </row>
    <row r="1521" spans="6:6" x14ac:dyDescent="0.25">
      <c r="F1521" t="s">
        <v>1956</v>
      </c>
    </row>
    <row r="1522" spans="6:6" x14ac:dyDescent="0.25">
      <c r="F1522" t="s">
        <v>1957</v>
      </c>
    </row>
    <row r="1523" spans="6:6" x14ac:dyDescent="0.25">
      <c r="F1523" t="s">
        <v>1958</v>
      </c>
    </row>
    <row r="1524" spans="6:6" x14ac:dyDescent="0.25">
      <c r="F1524" t="s">
        <v>1959</v>
      </c>
    </row>
    <row r="1525" spans="6:6" x14ac:dyDescent="0.25">
      <c r="F1525" t="s">
        <v>1960</v>
      </c>
    </row>
    <row r="1526" spans="6:6" x14ac:dyDescent="0.25">
      <c r="F1526" t="s">
        <v>1961</v>
      </c>
    </row>
    <row r="1527" spans="6:6" x14ac:dyDescent="0.25">
      <c r="F1527" t="s">
        <v>1962</v>
      </c>
    </row>
    <row r="1528" spans="6:6" x14ac:dyDescent="0.25">
      <c r="F1528" t="s">
        <v>1963</v>
      </c>
    </row>
    <row r="1529" spans="6:6" x14ac:dyDescent="0.25">
      <c r="F1529" t="s">
        <v>1964</v>
      </c>
    </row>
    <row r="1530" spans="6:6" x14ac:dyDescent="0.25">
      <c r="F1530" t="s">
        <v>1965</v>
      </c>
    </row>
    <row r="1531" spans="6:6" x14ac:dyDescent="0.25">
      <c r="F1531" t="s">
        <v>1966</v>
      </c>
    </row>
    <row r="1532" spans="6:6" x14ac:dyDescent="0.25">
      <c r="F1532" t="s">
        <v>1967</v>
      </c>
    </row>
    <row r="1533" spans="6:6" x14ac:dyDescent="0.25">
      <c r="F1533" t="s">
        <v>1968</v>
      </c>
    </row>
    <row r="1534" spans="6:6" x14ac:dyDescent="0.25">
      <c r="F1534" t="s">
        <v>1969</v>
      </c>
    </row>
    <row r="1535" spans="6:6" x14ac:dyDescent="0.25">
      <c r="F1535" t="s">
        <v>1970</v>
      </c>
    </row>
    <row r="1536" spans="6:6" x14ac:dyDescent="0.25">
      <c r="F1536" t="s">
        <v>1971</v>
      </c>
    </row>
    <row r="1537" spans="6:6" x14ac:dyDescent="0.25">
      <c r="F1537" t="s">
        <v>1972</v>
      </c>
    </row>
    <row r="1538" spans="6:6" x14ac:dyDescent="0.25">
      <c r="F1538" t="s">
        <v>1973</v>
      </c>
    </row>
    <row r="1539" spans="6:6" x14ac:dyDescent="0.25">
      <c r="F1539" t="s">
        <v>1974</v>
      </c>
    </row>
    <row r="1540" spans="6:6" x14ac:dyDescent="0.25">
      <c r="F1540" t="s">
        <v>1975</v>
      </c>
    </row>
    <row r="1541" spans="6:6" x14ac:dyDescent="0.25">
      <c r="F1541" t="s">
        <v>1976</v>
      </c>
    </row>
    <row r="1542" spans="6:6" x14ac:dyDescent="0.25">
      <c r="F1542" t="s">
        <v>1977</v>
      </c>
    </row>
    <row r="1543" spans="6:6" x14ac:dyDescent="0.25">
      <c r="F1543" t="s">
        <v>1978</v>
      </c>
    </row>
    <row r="1544" spans="6:6" x14ac:dyDescent="0.25">
      <c r="F1544" t="s">
        <v>1979</v>
      </c>
    </row>
    <row r="1545" spans="6:6" x14ac:dyDescent="0.25">
      <c r="F1545" t="s">
        <v>1980</v>
      </c>
    </row>
    <row r="1546" spans="6:6" x14ac:dyDescent="0.25">
      <c r="F1546" t="s">
        <v>1981</v>
      </c>
    </row>
    <row r="1547" spans="6:6" x14ac:dyDescent="0.25">
      <c r="F1547" t="s">
        <v>1982</v>
      </c>
    </row>
    <row r="1548" spans="6:6" x14ac:dyDescent="0.25">
      <c r="F1548" t="s">
        <v>1983</v>
      </c>
    </row>
    <row r="1549" spans="6:6" x14ac:dyDescent="0.25">
      <c r="F1549" t="s">
        <v>1984</v>
      </c>
    </row>
    <row r="1550" spans="6:6" x14ac:dyDescent="0.25">
      <c r="F1550" t="s">
        <v>1985</v>
      </c>
    </row>
    <row r="1551" spans="6:6" x14ac:dyDescent="0.25">
      <c r="F1551" t="s">
        <v>1986</v>
      </c>
    </row>
    <row r="1552" spans="6:6" x14ac:dyDescent="0.25">
      <c r="F1552" t="s">
        <v>1987</v>
      </c>
    </row>
    <row r="1553" spans="6:6" x14ac:dyDescent="0.25">
      <c r="F1553" t="s">
        <v>1988</v>
      </c>
    </row>
    <row r="1554" spans="6:6" x14ac:dyDescent="0.25">
      <c r="F1554" t="s">
        <v>1989</v>
      </c>
    </row>
    <row r="1555" spans="6:6" x14ac:dyDescent="0.25">
      <c r="F1555" t="s">
        <v>1990</v>
      </c>
    </row>
    <row r="1556" spans="6:6" x14ac:dyDescent="0.25">
      <c r="F1556" t="s">
        <v>1991</v>
      </c>
    </row>
    <row r="1557" spans="6:6" x14ac:dyDescent="0.25">
      <c r="F1557" t="s">
        <v>1992</v>
      </c>
    </row>
    <row r="1558" spans="6:6" x14ac:dyDescent="0.25">
      <c r="F1558" t="s">
        <v>1993</v>
      </c>
    </row>
    <row r="1559" spans="6:6" x14ac:dyDescent="0.25">
      <c r="F1559" t="s">
        <v>1994</v>
      </c>
    </row>
    <row r="1560" spans="6:6" x14ac:dyDescent="0.25">
      <c r="F1560" t="s">
        <v>1995</v>
      </c>
    </row>
    <row r="1561" spans="6:6" x14ac:dyDescent="0.25">
      <c r="F1561" t="s">
        <v>1996</v>
      </c>
    </row>
    <row r="1562" spans="6:6" x14ac:dyDescent="0.25">
      <c r="F1562" t="s">
        <v>1997</v>
      </c>
    </row>
    <row r="1563" spans="6:6" x14ac:dyDescent="0.25">
      <c r="F1563" t="s">
        <v>1998</v>
      </c>
    </row>
    <row r="1564" spans="6:6" x14ac:dyDescent="0.25">
      <c r="F1564" t="s">
        <v>1999</v>
      </c>
    </row>
    <row r="1565" spans="6:6" x14ac:dyDescent="0.25">
      <c r="F1565" t="s">
        <v>2000</v>
      </c>
    </row>
    <row r="1566" spans="6:6" x14ac:dyDescent="0.25">
      <c r="F1566" t="s">
        <v>2001</v>
      </c>
    </row>
    <row r="1567" spans="6:6" x14ac:dyDescent="0.25">
      <c r="F1567" t="s">
        <v>2002</v>
      </c>
    </row>
    <row r="1568" spans="6:6" x14ac:dyDescent="0.25">
      <c r="F1568" t="s">
        <v>2003</v>
      </c>
    </row>
    <row r="1569" spans="6:6" x14ac:dyDescent="0.25">
      <c r="F1569" t="s">
        <v>2004</v>
      </c>
    </row>
    <row r="1570" spans="6:6" x14ac:dyDescent="0.25">
      <c r="F1570" t="s">
        <v>2005</v>
      </c>
    </row>
    <row r="1571" spans="6:6" x14ac:dyDescent="0.25">
      <c r="F1571" t="s">
        <v>2006</v>
      </c>
    </row>
    <row r="1572" spans="6:6" x14ac:dyDescent="0.25">
      <c r="F1572" t="s">
        <v>2007</v>
      </c>
    </row>
    <row r="1573" spans="6:6" x14ac:dyDescent="0.25">
      <c r="F1573" t="s">
        <v>2008</v>
      </c>
    </row>
    <row r="1574" spans="6:6" x14ac:dyDescent="0.25">
      <c r="F1574" t="s">
        <v>2009</v>
      </c>
    </row>
    <row r="1575" spans="6:6" x14ac:dyDescent="0.25">
      <c r="F1575" t="s">
        <v>134</v>
      </c>
    </row>
    <row r="1576" spans="6:6" x14ac:dyDescent="0.25">
      <c r="F1576" t="s">
        <v>2010</v>
      </c>
    </row>
    <row r="1577" spans="6:6" x14ac:dyDescent="0.25">
      <c r="F1577" t="s">
        <v>2011</v>
      </c>
    </row>
    <row r="1578" spans="6:6" x14ac:dyDescent="0.25">
      <c r="F1578" t="s">
        <v>2012</v>
      </c>
    </row>
    <row r="1579" spans="6:6" x14ac:dyDescent="0.25">
      <c r="F1579" t="s">
        <v>2013</v>
      </c>
    </row>
    <row r="1580" spans="6:6" x14ac:dyDescent="0.25">
      <c r="F1580" t="s">
        <v>2014</v>
      </c>
    </row>
    <row r="1581" spans="6:6" x14ac:dyDescent="0.25">
      <c r="F1581" t="s">
        <v>2015</v>
      </c>
    </row>
    <row r="1582" spans="6:6" x14ac:dyDescent="0.25">
      <c r="F1582" t="s">
        <v>2016</v>
      </c>
    </row>
    <row r="1583" spans="6:6" x14ac:dyDescent="0.25">
      <c r="F1583" t="s">
        <v>2017</v>
      </c>
    </row>
    <row r="1584" spans="6:6" x14ac:dyDescent="0.25">
      <c r="F1584" t="s">
        <v>2018</v>
      </c>
    </row>
    <row r="1585" spans="6:6" x14ac:dyDescent="0.25">
      <c r="F1585" t="s">
        <v>2019</v>
      </c>
    </row>
    <row r="1586" spans="6:6" x14ac:dyDescent="0.25">
      <c r="F1586" t="s">
        <v>2020</v>
      </c>
    </row>
    <row r="1587" spans="6:6" x14ac:dyDescent="0.25">
      <c r="F1587" t="s">
        <v>2021</v>
      </c>
    </row>
    <row r="1588" spans="6:6" x14ac:dyDescent="0.25">
      <c r="F1588" t="s">
        <v>2022</v>
      </c>
    </row>
    <row r="1589" spans="6:6" x14ac:dyDescent="0.25">
      <c r="F1589" t="s">
        <v>2023</v>
      </c>
    </row>
    <row r="1590" spans="6:6" x14ac:dyDescent="0.25">
      <c r="F1590" t="s">
        <v>2024</v>
      </c>
    </row>
    <row r="1591" spans="6:6" x14ac:dyDescent="0.25">
      <c r="F1591" t="s">
        <v>2025</v>
      </c>
    </row>
    <row r="1592" spans="6:6" x14ac:dyDescent="0.25">
      <c r="F1592" t="s">
        <v>2026</v>
      </c>
    </row>
    <row r="1593" spans="6:6" x14ac:dyDescent="0.25">
      <c r="F1593" t="s">
        <v>2027</v>
      </c>
    </row>
    <row r="1594" spans="6:6" x14ac:dyDescent="0.25">
      <c r="F1594" t="s">
        <v>2028</v>
      </c>
    </row>
    <row r="1595" spans="6:6" x14ac:dyDescent="0.25">
      <c r="F1595" t="s">
        <v>2029</v>
      </c>
    </row>
    <row r="1596" spans="6:6" x14ac:dyDescent="0.25">
      <c r="F1596" t="s">
        <v>2030</v>
      </c>
    </row>
    <row r="1597" spans="6:6" x14ac:dyDescent="0.25">
      <c r="F1597" t="s">
        <v>2031</v>
      </c>
    </row>
    <row r="1598" spans="6:6" x14ac:dyDescent="0.25">
      <c r="F1598" t="s">
        <v>2032</v>
      </c>
    </row>
    <row r="1599" spans="6:6" x14ac:dyDescent="0.25">
      <c r="F1599" t="s">
        <v>2033</v>
      </c>
    </row>
    <row r="1600" spans="6:6" x14ac:dyDescent="0.25">
      <c r="F1600" t="s">
        <v>946</v>
      </c>
    </row>
    <row r="1601" spans="6:6" x14ac:dyDescent="0.25">
      <c r="F1601" t="s">
        <v>2034</v>
      </c>
    </row>
    <row r="1602" spans="6:6" x14ac:dyDescent="0.25">
      <c r="F1602" t="s">
        <v>2035</v>
      </c>
    </row>
    <row r="1603" spans="6:6" x14ac:dyDescent="0.25">
      <c r="F1603" t="s">
        <v>2036</v>
      </c>
    </row>
    <row r="1604" spans="6:6" x14ac:dyDescent="0.25">
      <c r="F1604" t="s">
        <v>2037</v>
      </c>
    </row>
    <row r="1605" spans="6:6" x14ac:dyDescent="0.25">
      <c r="F1605" t="s">
        <v>2038</v>
      </c>
    </row>
    <row r="1606" spans="6:6" x14ac:dyDescent="0.25">
      <c r="F1606" t="s">
        <v>2039</v>
      </c>
    </row>
    <row r="1607" spans="6:6" x14ac:dyDescent="0.25">
      <c r="F1607" t="s">
        <v>2040</v>
      </c>
    </row>
    <row r="1608" spans="6:6" x14ac:dyDescent="0.25">
      <c r="F1608" t="s">
        <v>2041</v>
      </c>
    </row>
    <row r="1609" spans="6:6" x14ac:dyDescent="0.25">
      <c r="F1609" t="s">
        <v>2042</v>
      </c>
    </row>
    <row r="1610" spans="6:6" x14ac:dyDescent="0.25">
      <c r="F1610" t="s">
        <v>2043</v>
      </c>
    </row>
    <row r="1611" spans="6:6" x14ac:dyDescent="0.25">
      <c r="F1611" t="s">
        <v>2044</v>
      </c>
    </row>
    <row r="1612" spans="6:6" x14ac:dyDescent="0.25">
      <c r="F1612" t="s">
        <v>2045</v>
      </c>
    </row>
    <row r="1613" spans="6:6" x14ac:dyDescent="0.25">
      <c r="F1613" t="s">
        <v>2046</v>
      </c>
    </row>
    <row r="1614" spans="6:6" x14ac:dyDescent="0.25">
      <c r="F1614" t="s">
        <v>2047</v>
      </c>
    </row>
    <row r="1615" spans="6:6" x14ac:dyDescent="0.25">
      <c r="F1615" t="s">
        <v>2048</v>
      </c>
    </row>
    <row r="1616" spans="6:6" x14ac:dyDescent="0.25">
      <c r="F1616" t="s">
        <v>2049</v>
      </c>
    </row>
    <row r="1617" spans="6:6" x14ac:dyDescent="0.25">
      <c r="F1617" t="s">
        <v>2050</v>
      </c>
    </row>
    <row r="1618" spans="6:6" x14ac:dyDescent="0.25">
      <c r="F1618" t="s">
        <v>2051</v>
      </c>
    </row>
    <row r="1619" spans="6:6" x14ac:dyDescent="0.25">
      <c r="F1619" t="s">
        <v>2052</v>
      </c>
    </row>
    <row r="1620" spans="6:6" x14ac:dyDescent="0.25">
      <c r="F1620" t="s">
        <v>2053</v>
      </c>
    </row>
    <row r="1621" spans="6:6" x14ac:dyDescent="0.25">
      <c r="F1621" t="s">
        <v>2054</v>
      </c>
    </row>
    <row r="1622" spans="6:6" x14ac:dyDescent="0.25">
      <c r="F1622" t="s">
        <v>2055</v>
      </c>
    </row>
    <row r="1623" spans="6:6" x14ac:dyDescent="0.25">
      <c r="F1623" t="s">
        <v>2056</v>
      </c>
    </row>
    <row r="1624" spans="6:6" x14ac:dyDescent="0.25">
      <c r="F1624" t="s">
        <v>2057</v>
      </c>
    </row>
    <row r="1625" spans="6:6" x14ac:dyDescent="0.25">
      <c r="F1625" t="s">
        <v>2058</v>
      </c>
    </row>
    <row r="1626" spans="6:6" x14ac:dyDescent="0.25">
      <c r="F1626" t="s">
        <v>2059</v>
      </c>
    </row>
    <row r="1627" spans="6:6" x14ac:dyDescent="0.25">
      <c r="F1627" t="s">
        <v>2060</v>
      </c>
    </row>
    <row r="1628" spans="6:6" x14ac:dyDescent="0.25">
      <c r="F1628" t="s">
        <v>2061</v>
      </c>
    </row>
    <row r="1629" spans="6:6" x14ac:dyDescent="0.25">
      <c r="F1629" t="s">
        <v>2062</v>
      </c>
    </row>
    <row r="1630" spans="6:6" x14ac:dyDescent="0.25">
      <c r="F1630" t="s">
        <v>2063</v>
      </c>
    </row>
    <row r="1631" spans="6:6" x14ac:dyDescent="0.25">
      <c r="F1631" t="s">
        <v>2064</v>
      </c>
    </row>
    <row r="1632" spans="6:6" x14ac:dyDescent="0.25">
      <c r="F1632" t="s">
        <v>2065</v>
      </c>
    </row>
    <row r="1633" spans="6:6" x14ac:dyDescent="0.25">
      <c r="F1633" t="s">
        <v>2066</v>
      </c>
    </row>
    <row r="1634" spans="6:6" x14ac:dyDescent="0.25">
      <c r="F1634" t="s">
        <v>2067</v>
      </c>
    </row>
    <row r="1635" spans="6:6" x14ac:dyDescent="0.25">
      <c r="F1635" t="s">
        <v>2068</v>
      </c>
    </row>
    <row r="1636" spans="6:6" x14ac:dyDescent="0.25">
      <c r="F1636" t="s">
        <v>2069</v>
      </c>
    </row>
    <row r="1637" spans="6:6" x14ac:dyDescent="0.25">
      <c r="F1637" t="s">
        <v>2070</v>
      </c>
    </row>
    <row r="1638" spans="6:6" x14ac:dyDescent="0.25">
      <c r="F1638" t="s">
        <v>2071</v>
      </c>
    </row>
    <row r="1639" spans="6:6" x14ac:dyDescent="0.25">
      <c r="F1639" t="s">
        <v>2072</v>
      </c>
    </row>
    <row r="1640" spans="6:6" x14ac:dyDescent="0.25">
      <c r="F1640" t="s">
        <v>2073</v>
      </c>
    </row>
    <row r="1641" spans="6:6" x14ac:dyDescent="0.25">
      <c r="F1641" t="s">
        <v>2074</v>
      </c>
    </row>
    <row r="1642" spans="6:6" x14ac:dyDescent="0.25">
      <c r="F1642" t="s">
        <v>2075</v>
      </c>
    </row>
    <row r="1643" spans="6:6" x14ac:dyDescent="0.25">
      <c r="F1643" t="s">
        <v>2076</v>
      </c>
    </row>
    <row r="1644" spans="6:6" x14ac:dyDescent="0.25">
      <c r="F1644" t="s">
        <v>2077</v>
      </c>
    </row>
    <row r="1645" spans="6:6" x14ac:dyDescent="0.25">
      <c r="F1645" t="s">
        <v>2078</v>
      </c>
    </row>
    <row r="1646" spans="6:6" x14ac:dyDescent="0.25">
      <c r="F1646" t="s">
        <v>2079</v>
      </c>
    </row>
    <row r="1647" spans="6:6" x14ac:dyDescent="0.25">
      <c r="F1647" t="s">
        <v>2080</v>
      </c>
    </row>
    <row r="1648" spans="6:6" x14ac:dyDescent="0.25">
      <c r="F1648" t="s">
        <v>2081</v>
      </c>
    </row>
    <row r="1649" spans="6:6" x14ac:dyDescent="0.25">
      <c r="F1649" t="s">
        <v>2082</v>
      </c>
    </row>
    <row r="1650" spans="6:6" x14ac:dyDescent="0.25">
      <c r="F1650" t="s">
        <v>2083</v>
      </c>
    </row>
    <row r="1651" spans="6:6" x14ac:dyDescent="0.25">
      <c r="F1651" t="s">
        <v>2084</v>
      </c>
    </row>
    <row r="1652" spans="6:6" x14ac:dyDescent="0.25">
      <c r="F1652" t="s">
        <v>2085</v>
      </c>
    </row>
    <row r="1653" spans="6:6" x14ac:dyDescent="0.25">
      <c r="F1653" t="s">
        <v>2086</v>
      </c>
    </row>
    <row r="1654" spans="6:6" x14ac:dyDescent="0.25">
      <c r="F1654" t="s">
        <v>2087</v>
      </c>
    </row>
    <row r="1655" spans="6:6" x14ac:dyDescent="0.25">
      <c r="F1655" t="s">
        <v>2088</v>
      </c>
    </row>
    <row r="1656" spans="6:6" x14ac:dyDescent="0.25">
      <c r="F1656" t="s">
        <v>2089</v>
      </c>
    </row>
    <row r="1657" spans="6:6" x14ac:dyDescent="0.25">
      <c r="F1657" t="s">
        <v>2090</v>
      </c>
    </row>
    <row r="1658" spans="6:6" x14ac:dyDescent="0.25">
      <c r="F1658" t="s">
        <v>2091</v>
      </c>
    </row>
    <row r="1659" spans="6:6" x14ac:dyDescent="0.25">
      <c r="F1659" t="s">
        <v>2092</v>
      </c>
    </row>
    <row r="1660" spans="6:6" x14ac:dyDescent="0.25">
      <c r="F1660" t="s">
        <v>2093</v>
      </c>
    </row>
    <row r="1661" spans="6:6" x14ac:dyDescent="0.25">
      <c r="F1661" t="s">
        <v>2094</v>
      </c>
    </row>
    <row r="1662" spans="6:6" x14ac:dyDescent="0.25">
      <c r="F1662" t="s">
        <v>2095</v>
      </c>
    </row>
    <row r="1663" spans="6:6" x14ac:dyDescent="0.25">
      <c r="F1663" t="s">
        <v>2096</v>
      </c>
    </row>
    <row r="1664" spans="6:6" x14ac:dyDescent="0.25">
      <c r="F1664" t="s">
        <v>1006</v>
      </c>
    </row>
    <row r="1665" spans="6:6" x14ac:dyDescent="0.25">
      <c r="F1665" t="s">
        <v>2097</v>
      </c>
    </row>
    <row r="1666" spans="6:6" x14ac:dyDescent="0.25">
      <c r="F1666" t="s">
        <v>971</v>
      </c>
    </row>
    <row r="1667" spans="6:6" x14ac:dyDescent="0.25">
      <c r="F1667" t="s">
        <v>2098</v>
      </c>
    </row>
    <row r="1668" spans="6:6" x14ac:dyDescent="0.25">
      <c r="F1668" t="s">
        <v>2099</v>
      </c>
    </row>
    <row r="1669" spans="6:6" x14ac:dyDescent="0.25">
      <c r="F1669" t="s">
        <v>2100</v>
      </c>
    </row>
    <row r="1670" spans="6:6" x14ac:dyDescent="0.25">
      <c r="F1670" t="s">
        <v>2101</v>
      </c>
    </row>
    <row r="1671" spans="6:6" x14ac:dyDescent="0.25">
      <c r="F1671" t="s">
        <v>2102</v>
      </c>
    </row>
    <row r="1672" spans="6:6" x14ac:dyDescent="0.25">
      <c r="F1672" t="s">
        <v>2103</v>
      </c>
    </row>
    <row r="1673" spans="6:6" x14ac:dyDescent="0.25">
      <c r="F1673" t="s">
        <v>2104</v>
      </c>
    </row>
    <row r="1674" spans="6:6" x14ac:dyDescent="0.25">
      <c r="F1674" t="s">
        <v>2105</v>
      </c>
    </row>
    <row r="1675" spans="6:6" x14ac:dyDescent="0.25">
      <c r="F1675" t="s">
        <v>2106</v>
      </c>
    </row>
    <row r="1676" spans="6:6" x14ac:dyDescent="0.25">
      <c r="F1676" t="s">
        <v>2107</v>
      </c>
    </row>
    <row r="1677" spans="6:6" x14ac:dyDescent="0.25">
      <c r="F1677" t="s">
        <v>2108</v>
      </c>
    </row>
    <row r="1678" spans="6:6" x14ac:dyDescent="0.25">
      <c r="F1678" t="s">
        <v>2109</v>
      </c>
    </row>
    <row r="1679" spans="6:6" x14ac:dyDescent="0.25">
      <c r="F1679" t="s">
        <v>2110</v>
      </c>
    </row>
    <row r="1680" spans="6:6" x14ac:dyDescent="0.25">
      <c r="F1680" t="s">
        <v>2111</v>
      </c>
    </row>
    <row r="1681" spans="6:6" x14ac:dyDescent="0.25">
      <c r="F1681" t="s">
        <v>2112</v>
      </c>
    </row>
    <row r="1682" spans="6:6" x14ac:dyDescent="0.25">
      <c r="F1682" t="s">
        <v>2113</v>
      </c>
    </row>
    <row r="1683" spans="6:6" x14ac:dyDescent="0.25">
      <c r="F1683" t="s">
        <v>2114</v>
      </c>
    </row>
    <row r="1684" spans="6:6" x14ac:dyDescent="0.25">
      <c r="F1684" t="s">
        <v>2115</v>
      </c>
    </row>
    <row r="1685" spans="6:6" x14ac:dyDescent="0.25">
      <c r="F1685" t="s">
        <v>2116</v>
      </c>
    </row>
    <row r="1686" spans="6:6" x14ac:dyDescent="0.25">
      <c r="F1686" t="s">
        <v>2117</v>
      </c>
    </row>
    <row r="1687" spans="6:6" x14ac:dyDescent="0.25">
      <c r="F1687" t="s">
        <v>2118</v>
      </c>
    </row>
    <row r="1688" spans="6:6" x14ac:dyDescent="0.25">
      <c r="F1688" t="s">
        <v>2119</v>
      </c>
    </row>
    <row r="1689" spans="6:6" x14ac:dyDescent="0.25">
      <c r="F1689" t="s">
        <v>2120</v>
      </c>
    </row>
    <row r="1690" spans="6:6" x14ac:dyDescent="0.25">
      <c r="F1690" t="s">
        <v>2121</v>
      </c>
    </row>
    <row r="1691" spans="6:6" x14ac:dyDescent="0.25">
      <c r="F1691" t="s">
        <v>2122</v>
      </c>
    </row>
    <row r="1692" spans="6:6" x14ac:dyDescent="0.25">
      <c r="F1692" t="s">
        <v>2123</v>
      </c>
    </row>
    <row r="1693" spans="6:6" x14ac:dyDescent="0.25">
      <c r="F1693" t="s">
        <v>2124</v>
      </c>
    </row>
    <row r="1694" spans="6:6" x14ac:dyDescent="0.25">
      <c r="F1694" t="s">
        <v>2125</v>
      </c>
    </row>
    <row r="1695" spans="6:6" x14ac:dyDescent="0.25">
      <c r="F1695" t="s">
        <v>2126</v>
      </c>
    </row>
    <row r="1696" spans="6:6" x14ac:dyDescent="0.25">
      <c r="F1696" t="s">
        <v>2127</v>
      </c>
    </row>
    <row r="1697" spans="6:6" x14ac:dyDescent="0.25">
      <c r="F1697" t="s">
        <v>2128</v>
      </c>
    </row>
    <row r="1698" spans="6:6" x14ac:dyDescent="0.25">
      <c r="F1698" t="s">
        <v>2129</v>
      </c>
    </row>
    <row r="1699" spans="6:6" x14ac:dyDescent="0.25">
      <c r="F1699" t="s">
        <v>2130</v>
      </c>
    </row>
    <row r="1700" spans="6:6" x14ac:dyDescent="0.25">
      <c r="F1700" t="s">
        <v>2131</v>
      </c>
    </row>
    <row r="1701" spans="6:6" x14ac:dyDescent="0.25">
      <c r="F1701" t="s">
        <v>2132</v>
      </c>
    </row>
    <row r="1702" spans="6:6" x14ac:dyDescent="0.25">
      <c r="F1702" t="s">
        <v>2133</v>
      </c>
    </row>
    <row r="1703" spans="6:6" x14ac:dyDescent="0.25">
      <c r="F1703" t="s">
        <v>2134</v>
      </c>
    </row>
    <row r="1704" spans="6:6" x14ac:dyDescent="0.25">
      <c r="F1704" t="s">
        <v>2135</v>
      </c>
    </row>
    <row r="1705" spans="6:6" x14ac:dyDescent="0.25">
      <c r="F1705" t="s">
        <v>2136</v>
      </c>
    </row>
    <row r="1706" spans="6:6" x14ac:dyDescent="0.25">
      <c r="F1706" t="s">
        <v>2137</v>
      </c>
    </row>
    <row r="1707" spans="6:6" x14ac:dyDescent="0.25">
      <c r="F1707" t="s">
        <v>2138</v>
      </c>
    </row>
    <row r="1708" spans="6:6" x14ac:dyDescent="0.25">
      <c r="F1708" t="s">
        <v>2139</v>
      </c>
    </row>
    <row r="1709" spans="6:6" x14ac:dyDescent="0.25">
      <c r="F1709" t="s">
        <v>2140</v>
      </c>
    </row>
    <row r="1710" spans="6:6" x14ac:dyDescent="0.25">
      <c r="F1710" t="s">
        <v>2141</v>
      </c>
    </row>
    <row r="1711" spans="6:6" x14ac:dyDescent="0.25">
      <c r="F1711" t="s">
        <v>2142</v>
      </c>
    </row>
    <row r="1712" spans="6:6" x14ac:dyDescent="0.25">
      <c r="F1712" t="s">
        <v>2143</v>
      </c>
    </row>
    <row r="1713" spans="6:6" x14ac:dyDescent="0.25">
      <c r="F1713" t="s">
        <v>2144</v>
      </c>
    </row>
    <row r="1714" spans="6:6" x14ac:dyDescent="0.25">
      <c r="F1714" t="s">
        <v>2145</v>
      </c>
    </row>
    <row r="1715" spans="6:6" x14ac:dyDescent="0.25">
      <c r="F1715" t="s">
        <v>2146</v>
      </c>
    </row>
    <row r="1716" spans="6:6" x14ac:dyDescent="0.25">
      <c r="F1716" t="s">
        <v>2147</v>
      </c>
    </row>
    <row r="1717" spans="6:6" x14ac:dyDescent="0.25">
      <c r="F1717" t="s">
        <v>116</v>
      </c>
    </row>
    <row r="1718" spans="6:6" x14ac:dyDescent="0.25">
      <c r="F1718" t="s">
        <v>2148</v>
      </c>
    </row>
    <row r="1719" spans="6:6" x14ac:dyDescent="0.25">
      <c r="F1719" t="s">
        <v>2149</v>
      </c>
    </row>
    <row r="1720" spans="6:6" x14ac:dyDescent="0.25">
      <c r="F1720" t="s">
        <v>2150</v>
      </c>
    </row>
    <row r="1721" spans="6:6" x14ac:dyDescent="0.25">
      <c r="F1721" t="s">
        <v>2151</v>
      </c>
    </row>
    <row r="1722" spans="6:6" x14ac:dyDescent="0.25">
      <c r="F1722" t="s">
        <v>2152</v>
      </c>
    </row>
    <row r="1723" spans="6:6" x14ac:dyDescent="0.25">
      <c r="F1723" t="s">
        <v>2153</v>
      </c>
    </row>
    <row r="1724" spans="6:6" x14ac:dyDescent="0.25">
      <c r="F1724" t="s">
        <v>2154</v>
      </c>
    </row>
    <row r="1725" spans="6:6" x14ac:dyDescent="0.25">
      <c r="F1725" t="s">
        <v>2155</v>
      </c>
    </row>
    <row r="1726" spans="6:6" x14ac:dyDescent="0.25">
      <c r="F1726" t="s">
        <v>2156</v>
      </c>
    </row>
    <row r="1727" spans="6:6" x14ac:dyDescent="0.25">
      <c r="F1727" t="s">
        <v>2157</v>
      </c>
    </row>
    <row r="1728" spans="6:6" x14ac:dyDescent="0.25">
      <c r="F1728" t="s">
        <v>2158</v>
      </c>
    </row>
    <row r="1729" spans="6:6" x14ac:dyDescent="0.25">
      <c r="F1729" t="s">
        <v>2159</v>
      </c>
    </row>
    <row r="1730" spans="6:6" x14ac:dyDescent="0.25">
      <c r="F1730" t="s">
        <v>2160</v>
      </c>
    </row>
    <row r="1731" spans="6:6" x14ac:dyDescent="0.25">
      <c r="F1731" t="s">
        <v>2161</v>
      </c>
    </row>
    <row r="1732" spans="6:6" x14ac:dyDescent="0.25">
      <c r="F1732" t="s">
        <v>2162</v>
      </c>
    </row>
    <row r="1733" spans="6:6" x14ac:dyDescent="0.25">
      <c r="F1733" t="s">
        <v>2163</v>
      </c>
    </row>
    <row r="1734" spans="6:6" x14ac:dyDescent="0.25">
      <c r="F1734" t="s">
        <v>2164</v>
      </c>
    </row>
    <row r="1735" spans="6:6" x14ac:dyDescent="0.25">
      <c r="F1735" t="s">
        <v>2165</v>
      </c>
    </row>
    <row r="1736" spans="6:6" x14ac:dyDescent="0.25">
      <c r="F1736" t="s">
        <v>2166</v>
      </c>
    </row>
    <row r="1737" spans="6:6" x14ac:dyDescent="0.25">
      <c r="F1737" t="s">
        <v>2167</v>
      </c>
    </row>
    <row r="1738" spans="6:6" x14ac:dyDescent="0.25">
      <c r="F1738" t="s">
        <v>2168</v>
      </c>
    </row>
    <row r="1739" spans="6:6" x14ac:dyDescent="0.25">
      <c r="F1739" t="s">
        <v>2169</v>
      </c>
    </row>
    <row r="1740" spans="6:6" x14ac:dyDescent="0.25">
      <c r="F1740" t="s">
        <v>2170</v>
      </c>
    </row>
    <row r="1741" spans="6:6" x14ac:dyDescent="0.25">
      <c r="F1741" t="s">
        <v>2171</v>
      </c>
    </row>
    <row r="1742" spans="6:6" x14ac:dyDescent="0.25">
      <c r="F1742" t="s">
        <v>2172</v>
      </c>
    </row>
    <row r="1743" spans="6:6" x14ac:dyDescent="0.25">
      <c r="F1743" t="s">
        <v>2173</v>
      </c>
    </row>
    <row r="1744" spans="6:6" x14ac:dyDescent="0.25">
      <c r="F1744" t="s">
        <v>2174</v>
      </c>
    </row>
    <row r="1745" spans="6:6" x14ac:dyDescent="0.25">
      <c r="F1745" t="s">
        <v>2175</v>
      </c>
    </row>
    <row r="1746" spans="6:6" x14ac:dyDescent="0.25">
      <c r="F1746" t="s">
        <v>2176</v>
      </c>
    </row>
    <row r="1747" spans="6:6" x14ac:dyDescent="0.25">
      <c r="F1747" t="s">
        <v>2177</v>
      </c>
    </row>
    <row r="1748" spans="6:6" x14ac:dyDescent="0.25">
      <c r="F1748" t="s">
        <v>2178</v>
      </c>
    </row>
    <row r="1749" spans="6:6" x14ac:dyDescent="0.25">
      <c r="F1749" t="s">
        <v>2179</v>
      </c>
    </row>
    <row r="1750" spans="6:6" x14ac:dyDescent="0.25">
      <c r="F1750" t="s">
        <v>2180</v>
      </c>
    </row>
    <row r="1751" spans="6:6" x14ac:dyDescent="0.25">
      <c r="F1751" t="s">
        <v>2181</v>
      </c>
    </row>
    <row r="1752" spans="6:6" x14ac:dyDescent="0.25">
      <c r="F1752" t="s">
        <v>2182</v>
      </c>
    </row>
    <row r="1753" spans="6:6" x14ac:dyDescent="0.25">
      <c r="F1753" t="s">
        <v>2183</v>
      </c>
    </row>
    <row r="1754" spans="6:6" x14ac:dyDescent="0.25">
      <c r="F1754" t="s">
        <v>2184</v>
      </c>
    </row>
    <row r="1755" spans="6:6" x14ac:dyDescent="0.25">
      <c r="F1755" t="s">
        <v>2185</v>
      </c>
    </row>
    <row r="1756" spans="6:6" x14ac:dyDescent="0.25">
      <c r="F1756" t="s">
        <v>2186</v>
      </c>
    </row>
    <row r="1757" spans="6:6" x14ac:dyDescent="0.25">
      <c r="F1757" t="s">
        <v>2187</v>
      </c>
    </row>
    <row r="1758" spans="6:6" x14ac:dyDescent="0.25">
      <c r="F1758" t="s">
        <v>2188</v>
      </c>
    </row>
    <row r="1759" spans="6:6" x14ac:dyDescent="0.25">
      <c r="F1759" t="s">
        <v>2189</v>
      </c>
    </row>
    <row r="1760" spans="6:6" x14ac:dyDescent="0.25">
      <c r="F1760" t="s">
        <v>2190</v>
      </c>
    </row>
    <row r="1761" spans="6:6" x14ac:dyDescent="0.25">
      <c r="F1761" t="s">
        <v>2191</v>
      </c>
    </row>
    <row r="1762" spans="6:6" x14ac:dyDescent="0.25">
      <c r="F1762" t="s">
        <v>2192</v>
      </c>
    </row>
    <row r="1763" spans="6:6" x14ac:dyDescent="0.25">
      <c r="F1763" t="s">
        <v>2193</v>
      </c>
    </row>
    <row r="1764" spans="6:6" x14ac:dyDescent="0.25">
      <c r="F1764" t="s">
        <v>2194</v>
      </c>
    </row>
    <row r="1765" spans="6:6" x14ac:dyDescent="0.25">
      <c r="F1765" t="s">
        <v>2195</v>
      </c>
    </row>
    <row r="1766" spans="6:6" x14ac:dyDescent="0.25">
      <c r="F1766" t="s">
        <v>2196</v>
      </c>
    </row>
    <row r="1767" spans="6:6" x14ac:dyDescent="0.25">
      <c r="F1767" t="s">
        <v>2197</v>
      </c>
    </row>
    <row r="1768" spans="6:6" x14ac:dyDescent="0.25">
      <c r="F1768" t="s">
        <v>2198</v>
      </c>
    </row>
    <row r="1769" spans="6:6" x14ac:dyDescent="0.25">
      <c r="F1769" t="s">
        <v>2199</v>
      </c>
    </row>
    <row r="1770" spans="6:6" x14ac:dyDescent="0.25">
      <c r="F1770" t="s">
        <v>2200</v>
      </c>
    </row>
    <row r="1771" spans="6:6" x14ac:dyDescent="0.25">
      <c r="F1771" t="s">
        <v>2201</v>
      </c>
    </row>
    <row r="1772" spans="6:6" x14ac:dyDescent="0.25">
      <c r="F1772" t="s">
        <v>2202</v>
      </c>
    </row>
    <row r="1773" spans="6:6" x14ac:dyDescent="0.25">
      <c r="F1773" t="s">
        <v>2203</v>
      </c>
    </row>
    <row r="1774" spans="6:6" x14ac:dyDescent="0.25">
      <c r="F1774" t="s">
        <v>2204</v>
      </c>
    </row>
    <row r="1775" spans="6:6" x14ac:dyDescent="0.25">
      <c r="F1775" t="s">
        <v>2205</v>
      </c>
    </row>
    <row r="1776" spans="6:6" x14ac:dyDescent="0.25">
      <c r="F1776" t="s">
        <v>2206</v>
      </c>
    </row>
    <row r="1777" spans="6:6" x14ac:dyDescent="0.25">
      <c r="F1777" t="s">
        <v>2207</v>
      </c>
    </row>
    <row r="1778" spans="6:6" x14ac:dyDescent="0.25">
      <c r="F1778" t="s">
        <v>2208</v>
      </c>
    </row>
    <row r="1779" spans="6:6" x14ac:dyDescent="0.25">
      <c r="F1779" t="s">
        <v>2209</v>
      </c>
    </row>
    <row r="1780" spans="6:6" x14ac:dyDescent="0.25">
      <c r="F1780" t="s">
        <v>2210</v>
      </c>
    </row>
    <row r="1781" spans="6:6" x14ac:dyDescent="0.25">
      <c r="F1781" t="s">
        <v>2211</v>
      </c>
    </row>
    <row r="1782" spans="6:6" x14ac:dyDescent="0.25">
      <c r="F1782" t="s">
        <v>2212</v>
      </c>
    </row>
    <row r="1783" spans="6:6" x14ac:dyDescent="0.25">
      <c r="F1783" t="s">
        <v>2213</v>
      </c>
    </row>
    <row r="1784" spans="6:6" x14ac:dyDescent="0.25">
      <c r="F1784" t="s">
        <v>2214</v>
      </c>
    </row>
    <row r="1785" spans="6:6" x14ac:dyDescent="0.25">
      <c r="F1785" t="s">
        <v>2215</v>
      </c>
    </row>
    <row r="1786" spans="6:6" x14ac:dyDescent="0.25">
      <c r="F1786" t="s">
        <v>2216</v>
      </c>
    </row>
    <row r="1787" spans="6:6" x14ac:dyDescent="0.25">
      <c r="F1787" t="s">
        <v>2217</v>
      </c>
    </row>
    <row r="1788" spans="6:6" x14ac:dyDescent="0.25">
      <c r="F1788" t="s">
        <v>2218</v>
      </c>
    </row>
    <row r="1789" spans="6:6" x14ac:dyDescent="0.25">
      <c r="F1789" t="s">
        <v>2219</v>
      </c>
    </row>
    <row r="1790" spans="6:6" x14ac:dyDescent="0.25">
      <c r="F1790" t="s">
        <v>2220</v>
      </c>
    </row>
    <row r="1791" spans="6:6" x14ac:dyDescent="0.25">
      <c r="F1791" t="s">
        <v>2221</v>
      </c>
    </row>
    <row r="1792" spans="6:6" x14ac:dyDescent="0.25">
      <c r="F1792" t="s">
        <v>21</v>
      </c>
    </row>
    <row r="1793" spans="6:6" x14ac:dyDescent="0.25">
      <c r="F1793" t="s">
        <v>2222</v>
      </c>
    </row>
    <row r="1794" spans="6:6" x14ac:dyDescent="0.25">
      <c r="F1794" t="s">
        <v>2223</v>
      </c>
    </row>
    <row r="1795" spans="6:6" x14ac:dyDescent="0.25">
      <c r="F1795" t="s">
        <v>2224</v>
      </c>
    </row>
    <row r="1796" spans="6:6" x14ac:dyDescent="0.25">
      <c r="F1796" t="s">
        <v>2225</v>
      </c>
    </row>
    <row r="1797" spans="6:6" x14ac:dyDescent="0.25">
      <c r="F1797" t="s">
        <v>2226</v>
      </c>
    </row>
    <row r="1798" spans="6:6" x14ac:dyDescent="0.25">
      <c r="F1798" t="s">
        <v>2227</v>
      </c>
    </row>
    <row r="1799" spans="6:6" x14ac:dyDescent="0.25">
      <c r="F1799" t="s">
        <v>2228</v>
      </c>
    </row>
    <row r="1800" spans="6:6" x14ac:dyDescent="0.25">
      <c r="F1800" t="s">
        <v>2229</v>
      </c>
    </row>
    <row r="1801" spans="6:6" x14ac:dyDescent="0.25">
      <c r="F1801" t="s">
        <v>2230</v>
      </c>
    </row>
    <row r="1802" spans="6:6" x14ac:dyDescent="0.25">
      <c r="F1802" t="s">
        <v>2231</v>
      </c>
    </row>
    <row r="1803" spans="6:6" x14ac:dyDescent="0.25">
      <c r="F1803" t="s">
        <v>2232</v>
      </c>
    </row>
    <row r="1804" spans="6:6" x14ac:dyDescent="0.25">
      <c r="F1804" t="s">
        <v>2233</v>
      </c>
    </row>
    <row r="1805" spans="6:6" x14ac:dyDescent="0.25">
      <c r="F1805" t="s">
        <v>2234</v>
      </c>
    </row>
    <row r="1806" spans="6:6" x14ac:dyDescent="0.25">
      <c r="F1806" t="s">
        <v>2235</v>
      </c>
    </row>
    <row r="1807" spans="6:6" x14ac:dyDescent="0.25">
      <c r="F1807" t="s">
        <v>2236</v>
      </c>
    </row>
    <row r="1808" spans="6:6" x14ac:dyDescent="0.25">
      <c r="F1808" t="s">
        <v>2237</v>
      </c>
    </row>
    <row r="1809" spans="6:6" x14ac:dyDescent="0.25">
      <c r="F1809" t="s">
        <v>2238</v>
      </c>
    </row>
    <row r="1810" spans="6:6" x14ac:dyDescent="0.25">
      <c r="F1810" t="s">
        <v>2239</v>
      </c>
    </row>
    <row r="1811" spans="6:6" x14ac:dyDescent="0.25">
      <c r="F1811" t="s">
        <v>2240</v>
      </c>
    </row>
    <row r="1812" spans="6:6" x14ac:dyDescent="0.25">
      <c r="F1812" t="s">
        <v>2241</v>
      </c>
    </row>
    <row r="1813" spans="6:6" x14ac:dyDescent="0.25">
      <c r="F1813" t="s">
        <v>2242</v>
      </c>
    </row>
    <row r="1814" spans="6:6" x14ac:dyDescent="0.25">
      <c r="F1814" t="s">
        <v>2243</v>
      </c>
    </row>
    <row r="1815" spans="6:6" x14ac:dyDescent="0.25">
      <c r="F1815" t="s">
        <v>2244</v>
      </c>
    </row>
    <row r="1816" spans="6:6" x14ac:dyDescent="0.25">
      <c r="F1816" t="s">
        <v>2245</v>
      </c>
    </row>
    <row r="1817" spans="6:6" x14ac:dyDescent="0.25">
      <c r="F1817" t="s">
        <v>2246</v>
      </c>
    </row>
    <row r="1818" spans="6:6" x14ac:dyDescent="0.25">
      <c r="F1818" t="s">
        <v>2247</v>
      </c>
    </row>
    <row r="1819" spans="6:6" x14ac:dyDescent="0.25">
      <c r="F1819" t="s">
        <v>2248</v>
      </c>
    </row>
    <row r="1820" spans="6:6" x14ac:dyDescent="0.25">
      <c r="F1820" t="s">
        <v>2249</v>
      </c>
    </row>
    <row r="1821" spans="6:6" x14ac:dyDescent="0.25">
      <c r="F1821" t="s">
        <v>2250</v>
      </c>
    </row>
    <row r="1822" spans="6:6" x14ac:dyDescent="0.25">
      <c r="F1822" t="s">
        <v>2251</v>
      </c>
    </row>
    <row r="1823" spans="6:6" x14ac:dyDescent="0.25">
      <c r="F1823" t="s">
        <v>2252</v>
      </c>
    </row>
    <row r="1824" spans="6:6" x14ac:dyDescent="0.25">
      <c r="F1824" t="s">
        <v>2253</v>
      </c>
    </row>
    <row r="1825" spans="6:6" x14ac:dyDescent="0.25">
      <c r="F1825" t="s">
        <v>2254</v>
      </c>
    </row>
    <row r="1826" spans="6:6" x14ac:dyDescent="0.25">
      <c r="F1826" t="s">
        <v>2255</v>
      </c>
    </row>
    <row r="1827" spans="6:6" x14ac:dyDescent="0.25">
      <c r="F1827" t="s">
        <v>2256</v>
      </c>
    </row>
    <row r="1828" spans="6:6" x14ac:dyDescent="0.25">
      <c r="F1828" t="s">
        <v>2257</v>
      </c>
    </row>
    <row r="1829" spans="6:6" x14ac:dyDescent="0.25">
      <c r="F1829" t="s">
        <v>2258</v>
      </c>
    </row>
    <row r="1830" spans="6:6" x14ac:dyDescent="0.25">
      <c r="F1830" t="s">
        <v>2259</v>
      </c>
    </row>
    <row r="1831" spans="6:6" x14ac:dyDescent="0.25">
      <c r="F1831" t="s">
        <v>2260</v>
      </c>
    </row>
    <row r="1832" spans="6:6" x14ac:dyDescent="0.25">
      <c r="F1832" t="s">
        <v>2261</v>
      </c>
    </row>
    <row r="1833" spans="6:6" x14ac:dyDescent="0.25">
      <c r="F1833" t="s">
        <v>2262</v>
      </c>
    </row>
    <row r="1834" spans="6:6" x14ac:dyDescent="0.25">
      <c r="F1834" t="s">
        <v>2263</v>
      </c>
    </row>
    <row r="1835" spans="6:6" x14ac:dyDescent="0.25">
      <c r="F1835" t="s">
        <v>2264</v>
      </c>
    </row>
    <row r="1836" spans="6:6" x14ac:dyDescent="0.25">
      <c r="F1836" t="s">
        <v>2265</v>
      </c>
    </row>
    <row r="1837" spans="6:6" x14ac:dyDescent="0.25">
      <c r="F1837" t="s">
        <v>2266</v>
      </c>
    </row>
    <row r="1838" spans="6:6" x14ac:dyDescent="0.25">
      <c r="F1838" t="s">
        <v>2267</v>
      </c>
    </row>
    <row r="1839" spans="6:6" x14ac:dyDescent="0.25">
      <c r="F1839" t="s">
        <v>2268</v>
      </c>
    </row>
    <row r="1840" spans="6:6" x14ac:dyDescent="0.25">
      <c r="F1840" t="s">
        <v>2269</v>
      </c>
    </row>
    <row r="1841" spans="6:6" x14ac:dyDescent="0.25">
      <c r="F1841" t="s">
        <v>2270</v>
      </c>
    </row>
    <row r="1842" spans="6:6" x14ac:dyDescent="0.25">
      <c r="F1842" t="s">
        <v>2271</v>
      </c>
    </row>
    <row r="1843" spans="6:6" x14ac:dyDescent="0.25">
      <c r="F1843" t="s">
        <v>2272</v>
      </c>
    </row>
    <row r="1844" spans="6:6" x14ac:dyDescent="0.25">
      <c r="F1844" t="s">
        <v>2273</v>
      </c>
    </row>
    <row r="1845" spans="6:6" x14ac:dyDescent="0.25">
      <c r="F1845" t="s">
        <v>2274</v>
      </c>
    </row>
    <row r="1846" spans="6:6" x14ac:dyDescent="0.25">
      <c r="F1846" t="s">
        <v>2275</v>
      </c>
    </row>
    <row r="1847" spans="6:6" x14ac:dyDescent="0.25">
      <c r="F1847" t="s">
        <v>2276</v>
      </c>
    </row>
    <row r="1848" spans="6:6" x14ac:dyDescent="0.25">
      <c r="F1848" t="s">
        <v>2277</v>
      </c>
    </row>
    <row r="1849" spans="6:6" x14ac:dyDescent="0.25">
      <c r="F1849" t="s">
        <v>2278</v>
      </c>
    </row>
    <row r="1850" spans="6:6" x14ac:dyDescent="0.25">
      <c r="F1850" t="s">
        <v>2279</v>
      </c>
    </row>
    <row r="1851" spans="6:6" x14ac:dyDescent="0.25">
      <c r="F1851" t="s">
        <v>2280</v>
      </c>
    </row>
    <row r="1852" spans="6:6" x14ac:dyDescent="0.25">
      <c r="F1852" t="s">
        <v>2281</v>
      </c>
    </row>
    <row r="1853" spans="6:6" x14ac:dyDescent="0.25">
      <c r="F1853" t="s">
        <v>2282</v>
      </c>
    </row>
    <row r="1854" spans="6:6" x14ac:dyDescent="0.25">
      <c r="F1854" t="s">
        <v>2283</v>
      </c>
    </row>
    <row r="1855" spans="6:6" x14ac:dyDescent="0.25">
      <c r="F1855" t="s">
        <v>2284</v>
      </c>
    </row>
    <row r="1856" spans="6:6" x14ac:dyDescent="0.25">
      <c r="F1856" t="s">
        <v>2285</v>
      </c>
    </row>
    <row r="1857" spans="6:6" x14ac:dyDescent="0.25">
      <c r="F1857" t="s">
        <v>2286</v>
      </c>
    </row>
    <row r="1858" spans="6:6" x14ac:dyDescent="0.25">
      <c r="F1858" t="s">
        <v>2287</v>
      </c>
    </row>
    <row r="1859" spans="6:6" x14ac:dyDescent="0.25">
      <c r="F1859" t="s">
        <v>2288</v>
      </c>
    </row>
    <row r="1860" spans="6:6" x14ac:dyDescent="0.25">
      <c r="F1860" t="s">
        <v>2289</v>
      </c>
    </row>
    <row r="1861" spans="6:6" x14ac:dyDescent="0.25">
      <c r="F1861" t="s">
        <v>2290</v>
      </c>
    </row>
    <row r="1862" spans="6:6" x14ac:dyDescent="0.25">
      <c r="F1862" t="s">
        <v>2291</v>
      </c>
    </row>
    <row r="1863" spans="6:6" x14ac:dyDescent="0.25">
      <c r="F1863" t="s">
        <v>2292</v>
      </c>
    </row>
    <row r="1864" spans="6:6" x14ac:dyDescent="0.25">
      <c r="F1864" t="s">
        <v>2293</v>
      </c>
    </row>
    <row r="1865" spans="6:6" x14ac:dyDescent="0.25">
      <c r="F1865" t="s">
        <v>2294</v>
      </c>
    </row>
    <row r="1866" spans="6:6" x14ac:dyDescent="0.25">
      <c r="F1866" t="s">
        <v>2295</v>
      </c>
    </row>
    <row r="1867" spans="6:6" x14ac:dyDescent="0.25">
      <c r="F1867" t="s">
        <v>2296</v>
      </c>
    </row>
    <row r="1868" spans="6:6" x14ac:dyDescent="0.25">
      <c r="F1868" t="s">
        <v>2297</v>
      </c>
    </row>
    <row r="1869" spans="6:6" x14ac:dyDescent="0.25">
      <c r="F1869" t="s">
        <v>2298</v>
      </c>
    </row>
    <row r="1870" spans="6:6" x14ac:dyDescent="0.25">
      <c r="F1870" t="s">
        <v>2299</v>
      </c>
    </row>
    <row r="1871" spans="6:6" x14ac:dyDescent="0.25">
      <c r="F1871" t="s">
        <v>2300</v>
      </c>
    </row>
    <row r="1872" spans="6:6" x14ac:dyDescent="0.25">
      <c r="F1872" t="s">
        <v>2301</v>
      </c>
    </row>
    <row r="1873" spans="6:6" x14ac:dyDescent="0.25">
      <c r="F1873" t="s">
        <v>2302</v>
      </c>
    </row>
    <row r="1874" spans="6:6" x14ac:dyDescent="0.25">
      <c r="F1874" t="s">
        <v>2303</v>
      </c>
    </row>
    <row r="1875" spans="6:6" x14ac:dyDescent="0.25">
      <c r="F1875" t="s">
        <v>2304</v>
      </c>
    </row>
    <row r="1876" spans="6:6" x14ac:dyDescent="0.25">
      <c r="F1876" t="s">
        <v>2305</v>
      </c>
    </row>
    <row r="1877" spans="6:6" x14ac:dyDescent="0.25">
      <c r="F1877" t="s">
        <v>2306</v>
      </c>
    </row>
    <row r="1878" spans="6:6" x14ac:dyDescent="0.25">
      <c r="F1878" t="s">
        <v>2307</v>
      </c>
    </row>
    <row r="1879" spans="6:6" x14ac:dyDescent="0.25">
      <c r="F1879" t="s">
        <v>2308</v>
      </c>
    </row>
    <row r="1880" spans="6:6" x14ac:dyDescent="0.25">
      <c r="F1880" t="s">
        <v>2309</v>
      </c>
    </row>
    <row r="1881" spans="6:6" x14ac:dyDescent="0.25">
      <c r="F1881" t="s">
        <v>2310</v>
      </c>
    </row>
    <row r="1882" spans="6:6" x14ac:dyDescent="0.25">
      <c r="F1882" t="s">
        <v>2311</v>
      </c>
    </row>
    <row r="1883" spans="6:6" x14ac:dyDescent="0.25">
      <c r="F1883" t="s">
        <v>2312</v>
      </c>
    </row>
    <row r="1884" spans="6:6" x14ac:dyDescent="0.25">
      <c r="F1884" t="s">
        <v>2313</v>
      </c>
    </row>
    <row r="1885" spans="6:6" x14ac:dyDescent="0.25">
      <c r="F1885" t="s">
        <v>2314</v>
      </c>
    </row>
    <row r="1886" spans="6:6" x14ac:dyDescent="0.25">
      <c r="F1886" t="s">
        <v>221</v>
      </c>
    </row>
    <row r="1887" spans="6:6" x14ac:dyDescent="0.25">
      <c r="F1887" t="s">
        <v>2315</v>
      </c>
    </row>
    <row r="1888" spans="6:6" x14ac:dyDescent="0.25">
      <c r="F1888" t="s">
        <v>2316</v>
      </c>
    </row>
    <row r="1889" spans="6:6" x14ac:dyDescent="0.25">
      <c r="F1889" t="s">
        <v>2317</v>
      </c>
    </row>
    <row r="1890" spans="6:6" x14ac:dyDescent="0.25">
      <c r="F1890" t="s">
        <v>2318</v>
      </c>
    </row>
    <row r="1891" spans="6:6" x14ac:dyDescent="0.25">
      <c r="F1891" t="s">
        <v>2319</v>
      </c>
    </row>
    <row r="1892" spans="6:6" x14ac:dyDescent="0.25">
      <c r="F1892" t="s">
        <v>2320</v>
      </c>
    </row>
    <row r="1893" spans="6:6" x14ac:dyDescent="0.25">
      <c r="F1893" t="s">
        <v>2321</v>
      </c>
    </row>
    <row r="1894" spans="6:6" x14ac:dyDescent="0.25">
      <c r="F1894" t="s">
        <v>2322</v>
      </c>
    </row>
    <row r="1895" spans="6:6" x14ac:dyDescent="0.25">
      <c r="F1895" t="s">
        <v>2323</v>
      </c>
    </row>
    <row r="1896" spans="6:6" x14ac:dyDescent="0.25">
      <c r="F1896" t="s">
        <v>2324</v>
      </c>
    </row>
    <row r="1897" spans="6:6" x14ac:dyDescent="0.25">
      <c r="F1897" t="s">
        <v>2325</v>
      </c>
    </row>
    <row r="1898" spans="6:6" x14ac:dyDescent="0.25">
      <c r="F1898" t="s">
        <v>2326</v>
      </c>
    </row>
    <row r="1899" spans="6:6" x14ac:dyDescent="0.25">
      <c r="F1899" t="s">
        <v>2327</v>
      </c>
    </row>
    <row r="1900" spans="6:6" x14ac:dyDescent="0.25">
      <c r="F1900" t="s">
        <v>2328</v>
      </c>
    </row>
    <row r="1901" spans="6:6" x14ac:dyDescent="0.25">
      <c r="F1901" t="s">
        <v>2329</v>
      </c>
    </row>
    <row r="1902" spans="6:6" x14ac:dyDescent="0.25">
      <c r="F1902" t="s">
        <v>2330</v>
      </c>
    </row>
    <row r="1903" spans="6:6" x14ac:dyDescent="0.25">
      <c r="F1903" t="s">
        <v>2331</v>
      </c>
    </row>
    <row r="1904" spans="6:6" x14ac:dyDescent="0.25">
      <c r="F1904" t="s">
        <v>2332</v>
      </c>
    </row>
    <row r="1905" spans="6:6" x14ac:dyDescent="0.25">
      <c r="F1905" t="s">
        <v>2333</v>
      </c>
    </row>
    <row r="1906" spans="6:6" x14ac:dyDescent="0.25">
      <c r="F1906" t="s">
        <v>2334</v>
      </c>
    </row>
    <row r="1907" spans="6:6" x14ac:dyDescent="0.25">
      <c r="F1907" t="s">
        <v>2335</v>
      </c>
    </row>
    <row r="1908" spans="6:6" x14ac:dyDescent="0.25">
      <c r="F1908" t="s">
        <v>2336</v>
      </c>
    </row>
    <row r="1909" spans="6:6" x14ac:dyDescent="0.25">
      <c r="F1909" t="s">
        <v>2337</v>
      </c>
    </row>
    <row r="1910" spans="6:6" x14ac:dyDescent="0.25">
      <c r="F1910" t="s">
        <v>2338</v>
      </c>
    </row>
    <row r="1911" spans="6:6" x14ac:dyDescent="0.25">
      <c r="F1911" t="s">
        <v>2339</v>
      </c>
    </row>
    <row r="1912" spans="6:6" x14ac:dyDescent="0.25">
      <c r="F1912" t="s">
        <v>2340</v>
      </c>
    </row>
    <row r="1913" spans="6:6" x14ac:dyDescent="0.25">
      <c r="F1913" t="s">
        <v>2341</v>
      </c>
    </row>
    <row r="1914" spans="6:6" x14ac:dyDescent="0.25">
      <c r="F1914" t="s">
        <v>2342</v>
      </c>
    </row>
    <row r="1915" spans="6:6" x14ac:dyDescent="0.25">
      <c r="F1915" t="s">
        <v>2343</v>
      </c>
    </row>
    <row r="1916" spans="6:6" x14ac:dyDescent="0.25">
      <c r="F1916" t="s">
        <v>2344</v>
      </c>
    </row>
    <row r="1917" spans="6:6" x14ac:dyDescent="0.25">
      <c r="F1917" t="s">
        <v>2345</v>
      </c>
    </row>
    <row r="1918" spans="6:6" x14ac:dyDescent="0.25">
      <c r="F1918" t="s">
        <v>2346</v>
      </c>
    </row>
    <row r="1919" spans="6:6" x14ac:dyDescent="0.25">
      <c r="F1919" t="s">
        <v>2347</v>
      </c>
    </row>
    <row r="1920" spans="6:6" x14ac:dyDescent="0.25">
      <c r="F1920" t="s">
        <v>2348</v>
      </c>
    </row>
    <row r="1921" spans="6:6" x14ac:dyDescent="0.25">
      <c r="F1921" t="s">
        <v>2349</v>
      </c>
    </row>
    <row r="1922" spans="6:6" x14ac:dyDescent="0.25">
      <c r="F1922" t="s">
        <v>2350</v>
      </c>
    </row>
    <row r="1923" spans="6:6" x14ac:dyDescent="0.25">
      <c r="F1923" t="s">
        <v>2351</v>
      </c>
    </row>
    <row r="1924" spans="6:6" x14ac:dyDescent="0.25">
      <c r="F1924" t="s">
        <v>2352</v>
      </c>
    </row>
    <row r="1925" spans="6:6" x14ac:dyDescent="0.25">
      <c r="F1925" t="s">
        <v>2353</v>
      </c>
    </row>
    <row r="1926" spans="6:6" x14ac:dyDescent="0.25">
      <c r="F1926" t="s">
        <v>2354</v>
      </c>
    </row>
    <row r="1927" spans="6:6" x14ac:dyDescent="0.25">
      <c r="F1927" t="s">
        <v>2355</v>
      </c>
    </row>
    <row r="1928" spans="6:6" x14ac:dyDescent="0.25">
      <c r="F1928" t="s">
        <v>2356</v>
      </c>
    </row>
    <row r="1929" spans="6:6" x14ac:dyDescent="0.25">
      <c r="F1929" t="s">
        <v>2357</v>
      </c>
    </row>
    <row r="1930" spans="6:6" x14ac:dyDescent="0.25">
      <c r="F1930" t="s">
        <v>2358</v>
      </c>
    </row>
    <row r="1931" spans="6:6" x14ac:dyDescent="0.25">
      <c r="F1931" t="s">
        <v>2359</v>
      </c>
    </row>
    <row r="1932" spans="6:6" x14ac:dyDescent="0.25">
      <c r="F1932" t="s">
        <v>2360</v>
      </c>
    </row>
    <row r="1933" spans="6:6" x14ac:dyDescent="0.25">
      <c r="F1933" t="s">
        <v>152</v>
      </c>
    </row>
    <row r="1934" spans="6:6" x14ac:dyDescent="0.25">
      <c r="F1934" t="s">
        <v>2361</v>
      </c>
    </row>
    <row r="1935" spans="6:6" x14ac:dyDescent="0.25">
      <c r="F1935" t="s">
        <v>2362</v>
      </c>
    </row>
    <row r="1936" spans="6:6" x14ac:dyDescent="0.25">
      <c r="F1936" t="s">
        <v>2363</v>
      </c>
    </row>
    <row r="1937" spans="6:6" x14ac:dyDescent="0.25">
      <c r="F1937" t="s">
        <v>2364</v>
      </c>
    </row>
    <row r="1938" spans="6:6" x14ac:dyDescent="0.25">
      <c r="F1938" t="s">
        <v>2365</v>
      </c>
    </row>
    <row r="1939" spans="6:6" x14ac:dyDescent="0.25">
      <c r="F1939" t="s">
        <v>2366</v>
      </c>
    </row>
    <row r="1940" spans="6:6" x14ac:dyDescent="0.25">
      <c r="F1940" t="s">
        <v>11</v>
      </c>
    </row>
    <row r="1941" spans="6:6" x14ac:dyDescent="0.25">
      <c r="F1941" t="s">
        <v>2367</v>
      </c>
    </row>
    <row r="1942" spans="6:6" x14ac:dyDescent="0.25">
      <c r="F1942" t="s">
        <v>2368</v>
      </c>
    </row>
    <row r="1943" spans="6:6" x14ac:dyDescent="0.25">
      <c r="F1943" t="s">
        <v>2369</v>
      </c>
    </row>
    <row r="1944" spans="6:6" x14ac:dyDescent="0.25">
      <c r="F1944" t="s">
        <v>2370</v>
      </c>
    </row>
    <row r="1945" spans="6:6" x14ac:dyDescent="0.25">
      <c r="F1945" t="s">
        <v>2371</v>
      </c>
    </row>
    <row r="1946" spans="6:6" x14ac:dyDescent="0.25">
      <c r="F1946" t="s">
        <v>2372</v>
      </c>
    </row>
    <row r="1947" spans="6:6" x14ac:dyDescent="0.25">
      <c r="F1947" t="s">
        <v>2373</v>
      </c>
    </row>
    <row r="1948" spans="6:6" x14ac:dyDescent="0.25">
      <c r="F1948" t="s">
        <v>2374</v>
      </c>
    </row>
    <row r="1949" spans="6:6" x14ac:dyDescent="0.25">
      <c r="F1949" t="s">
        <v>2375</v>
      </c>
    </row>
    <row r="1950" spans="6:6" x14ac:dyDescent="0.25">
      <c r="F1950" t="s">
        <v>2376</v>
      </c>
    </row>
    <row r="1951" spans="6:6" x14ac:dyDescent="0.25">
      <c r="F1951" t="s">
        <v>2377</v>
      </c>
    </row>
    <row r="1952" spans="6:6" x14ac:dyDescent="0.25">
      <c r="F1952" t="s">
        <v>2378</v>
      </c>
    </row>
    <row r="1953" spans="6:6" x14ac:dyDescent="0.25">
      <c r="F1953" t="s">
        <v>2379</v>
      </c>
    </row>
    <row r="1954" spans="6:6" x14ac:dyDescent="0.25">
      <c r="F1954" t="s">
        <v>2380</v>
      </c>
    </row>
    <row r="1955" spans="6:6" x14ac:dyDescent="0.25">
      <c r="F1955" t="s">
        <v>2381</v>
      </c>
    </row>
    <row r="1956" spans="6:6" x14ac:dyDescent="0.25">
      <c r="F1956" t="s">
        <v>2382</v>
      </c>
    </row>
    <row r="1957" spans="6:6" x14ac:dyDescent="0.25">
      <c r="F1957" t="s">
        <v>2383</v>
      </c>
    </row>
    <row r="1958" spans="6:6" x14ac:dyDescent="0.25">
      <c r="F1958" t="s">
        <v>2384</v>
      </c>
    </row>
    <row r="1959" spans="6:6" x14ac:dyDescent="0.25">
      <c r="F1959" t="s">
        <v>2385</v>
      </c>
    </row>
    <row r="1960" spans="6:6" x14ac:dyDescent="0.25">
      <c r="F1960" t="s">
        <v>2386</v>
      </c>
    </row>
    <row r="1961" spans="6:6" x14ac:dyDescent="0.25">
      <c r="F1961" t="s">
        <v>2387</v>
      </c>
    </row>
    <row r="1962" spans="6:6" x14ac:dyDescent="0.25">
      <c r="F1962" t="s">
        <v>2388</v>
      </c>
    </row>
    <row r="1963" spans="6:6" x14ac:dyDescent="0.25">
      <c r="F1963" t="s">
        <v>2389</v>
      </c>
    </row>
    <row r="1964" spans="6:6" x14ac:dyDescent="0.25">
      <c r="F1964" t="s">
        <v>2390</v>
      </c>
    </row>
    <row r="1965" spans="6:6" x14ac:dyDescent="0.25">
      <c r="F1965" t="s">
        <v>2391</v>
      </c>
    </row>
    <row r="1966" spans="6:6" x14ac:dyDescent="0.25">
      <c r="F1966" t="s">
        <v>2392</v>
      </c>
    </row>
    <row r="1967" spans="6:6" x14ac:dyDescent="0.25">
      <c r="F1967" t="s">
        <v>2393</v>
      </c>
    </row>
    <row r="1968" spans="6:6" x14ac:dyDescent="0.25">
      <c r="F1968" t="s">
        <v>2394</v>
      </c>
    </row>
    <row r="1969" spans="6:6" x14ac:dyDescent="0.25">
      <c r="F1969" t="s">
        <v>2395</v>
      </c>
    </row>
    <row r="1970" spans="6:6" x14ac:dyDescent="0.25">
      <c r="F1970" t="s">
        <v>2396</v>
      </c>
    </row>
    <row r="1971" spans="6:6" x14ac:dyDescent="0.25">
      <c r="F1971" t="s">
        <v>2397</v>
      </c>
    </row>
    <row r="1972" spans="6:6" x14ac:dyDescent="0.25">
      <c r="F1972" t="s">
        <v>2398</v>
      </c>
    </row>
    <row r="1973" spans="6:6" x14ac:dyDescent="0.25">
      <c r="F1973" t="s">
        <v>2399</v>
      </c>
    </row>
    <row r="1974" spans="6:6" x14ac:dyDescent="0.25">
      <c r="F1974" t="s">
        <v>2400</v>
      </c>
    </row>
    <row r="1975" spans="6:6" x14ac:dyDescent="0.25">
      <c r="F1975" t="s">
        <v>2401</v>
      </c>
    </row>
    <row r="1976" spans="6:6" x14ac:dyDescent="0.25">
      <c r="F1976" t="s">
        <v>2402</v>
      </c>
    </row>
    <row r="1977" spans="6:6" x14ac:dyDescent="0.25">
      <c r="F1977" t="s">
        <v>2403</v>
      </c>
    </row>
    <row r="1978" spans="6:6" x14ac:dyDescent="0.25">
      <c r="F1978" t="s">
        <v>2404</v>
      </c>
    </row>
    <row r="1979" spans="6:6" x14ac:dyDescent="0.25">
      <c r="F1979" t="s">
        <v>2405</v>
      </c>
    </row>
    <row r="1980" spans="6:6" x14ac:dyDescent="0.25">
      <c r="F1980" t="s">
        <v>1030</v>
      </c>
    </row>
    <row r="1981" spans="6:6" x14ac:dyDescent="0.25">
      <c r="F1981" t="s">
        <v>2406</v>
      </c>
    </row>
    <row r="1982" spans="6:6" x14ac:dyDescent="0.25">
      <c r="F1982" t="s">
        <v>2407</v>
      </c>
    </row>
    <row r="1983" spans="6:6" x14ac:dyDescent="0.25">
      <c r="F1983" t="s">
        <v>2408</v>
      </c>
    </row>
    <row r="1984" spans="6:6" x14ac:dyDescent="0.25">
      <c r="F1984" t="s">
        <v>2409</v>
      </c>
    </row>
    <row r="1985" spans="6:6" x14ac:dyDescent="0.25">
      <c r="F1985" t="s">
        <v>2410</v>
      </c>
    </row>
    <row r="1986" spans="6:6" x14ac:dyDescent="0.25">
      <c r="F1986" t="s">
        <v>2411</v>
      </c>
    </row>
    <row r="1987" spans="6:6" x14ac:dyDescent="0.25">
      <c r="F1987" t="s">
        <v>2412</v>
      </c>
    </row>
    <row r="1988" spans="6:6" x14ac:dyDescent="0.25">
      <c r="F1988" t="s">
        <v>2413</v>
      </c>
    </row>
    <row r="1989" spans="6:6" x14ac:dyDescent="0.25">
      <c r="F1989" t="s">
        <v>2414</v>
      </c>
    </row>
    <row r="1990" spans="6:6" x14ac:dyDescent="0.25">
      <c r="F1990" t="s">
        <v>2415</v>
      </c>
    </row>
    <row r="1991" spans="6:6" x14ac:dyDescent="0.25">
      <c r="F1991" t="s">
        <v>2416</v>
      </c>
    </row>
    <row r="1992" spans="6:6" x14ac:dyDescent="0.25">
      <c r="F1992" t="s">
        <v>2417</v>
      </c>
    </row>
    <row r="1993" spans="6:6" x14ac:dyDescent="0.25">
      <c r="F1993" t="s">
        <v>2418</v>
      </c>
    </row>
    <row r="1994" spans="6:6" x14ac:dyDescent="0.25">
      <c r="F1994" t="s">
        <v>2419</v>
      </c>
    </row>
    <row r="1995" spans="6:6" x14ac:dyDescent="0.25">
      <c r="F1995" t="s">
        <v>2420</v>
      </c>
    </row>
    <row r="1996" spans="6:6" x14ac:dyDescent="0.25">
      <c r="F1996" t="s">
        <v>2421</v>
      </c>
    </row>
    <row r="1997" spans="6:6" x14ac:dyDescent="0.25">
      <c r="F1997" t="s">
        <v>2422</v>
      </c>
    </row>
    <row r="1998" spans="6:6" x14ac:dyDescent="0.25">
      <c r="F1998" t="s">
        <v>233</v>
      </c>
    </row>
    <row r="1999" spans="6:6" x14ac:dyDescent="0.25">
      <c r="F1999" t="s">
        <v>2423</v>
      </c>
    </row>
    <row r="2000" spans="6:6" x14ac:dyDescent="0.25">
      <c r="F2000" t="s">
        <v>2424</v>
      </c>
    </row>
    <row r="2001" spans="6:6" x14ac:dyDescent="0.25">
      <c r="F2001" t="s">
        <v>2425</v>
      </c>
    </row>
    <row r="2002" spans="6:6" x14ac:dyDescent="0.25">
      <c r="F2002" t="s">
        <v>2426</v>
      </c>
    </row>
    <row r="2003" spans="6:6" x14ac:dyDescent="0.25">
      <c r="F2003" t="s">
        <v>2427</v>
      </c>
    </row>
    <row r="2004" spans="6:6" x14ac:dyDescent="0.25">
      <c r="F2004" t="s">
        <v>2428</v>
      </c>
    </row>
    <row r="2005" spans="6:6" x14ac:dyDescent="0.25">
      <c r="F2005" t="s">
        <v>2429</v>
      </c>
    </row>
    <row r="2006" spans="6:6" x14ac:dyDescent="0.25">
      <c r="F2006" t="s">
        <v>2430</v>
      </c>
    </row>
    <row r="2007" spans="6:6" x14ac:dyDescent="0.25">
      <c r="F2007" t="s">
        <v>2431</v>
      </c>
    </row>
    <row r="2008" spans="6:6" x14ac:dyDescent="0.25">
      <c r="F2008" t="s">
        <v>2432</v>
      </c>
    </row>
    <row r="2009" spans="6:6" x14ac:dyDescent="0.25">
      <c r="F2009" t="s">
        <v>2433</v>
      </c>
    </row>
    <row r="2010" spans="6:6" x14ac:dyDescent="0.25">
      <c r="F2010" t="s">
        <v>2434</v>
      </c>
    </row>
    <row r="2011" spans="6:6" x14ac:dyDescent="0.25">
      <c r="F2011" t="s">
        <v>2435</v>
      </c>
    </row>
    <row r="2012" spans="6:6" x14ac:dyDescent="0.25">
      <c r="F2012" t="s">
        <v>2436</v>
      </c>
    </row>
    <row r="2013" spans="6:6" x14ac:dyDescent="0.25">
      <c r="F2013" t="s">
        <v>2437</v>
      </c>
    </row>
    <row r="2014" spans="6:6" x14ac:dyDescent="0.25">
      <c r="F2014" t="s">
        <v>2438</v>
      </c>
    </row>
    <row r="2015" spans="6:6" x14ac:dyDescent="0.25">
      <c r="F2015" t="s">
        <v>2439</v>
      </c>
    </row>
    <row r="2016" spans="6:6" x14ac:dyDescent="0.25">
      <c r="F2016" t="s">
        <v>2440</v>
      </c>
    </row>
    <row r="2017" spans="6:6" x14ac:dyDescent="0.25">
      <c r="F2017" t="s">
        <v>2441</v>
      </c>
    </row>
    <row r="2018" spans="6:6" x14ac:dyDescent="0.25">
      <c r="F2018" t="s">
        <v>2442</v>
      </c>
    </row>
    <row r="2019" spans="6:6" x14ac:dyDescent="0.25">
      <c r="F2019" t="s">
        <v>2443</v>
      </c>
    </row>
    <row r="2020" spans="6:6" x14ac:dyDescent="0.25">
      <c r="F2020" t="s">
        <v>2444</v>
      </c>
    </row>
    <row r="2021" spans="6:6" x14ac:dyDescent="0.25">
      <c r="F2021" t="s">
        <v>2445</v>
      </c>
    </row>
    <row r="2022" spans="6:6" x14ac:dyDescent="0.25">
      <c r="F2022" t="s">
        <v>2446</v>
      </c>
    </row>
    <row r="2023" spans="6:6" x14ac:dyDescent="0.25">
      <c r="F2023" t="s">
        <v>2447</v>
      </c>
    </row>
    <row r="2024" spans="6:6" x14ac:dyDescent="0.25">
      <c r="F2024" t="s">
        <v>2448</v>
      </c>
    </row>
    <row r="2025" spans="6:6" x14ac:dyDescent="0.25">
      <c r="F2025" t="s">
        <v>2449</v>
      </c>
    </row>
    <row r="2026" spans="6:6" x14ac:dyDescent="0.25">
      <c r="F2026" t="s">
        <v>2450</v>
      </c>
    </row>
    <row r="2027" spans="6:6" x14ac:dyDescent="0.25">
      <c r="F2027" t="s">
        <v>2451</v>
      </c>
    </row>
    <row r="2028" spans="6:6" x14ac:dyDescent="0.25">
      <c r="F2028" t="s">
        <v>2452</v>
      </c>
    </row>
    <row r="2029" spans="6:6" x14ac:dyDescent="0.25">
      <c r="F2029" t="s">
        <v>2453</v>
      </c>
    </row>
    <row r="2030" spans="6:6" x14ac:dyDescent="0.25">
      <c r="F2030" t="s">
        <v>2454</v>
      </c>
    </row>
    <row r="2031" spans="6:6" x14ac:dyDescent="0.25">
      <c r="F2031" t="s">
        <v>2455</v>
      </c>
    </row>
    <row r="2032" spans="6:6" x14ac:dyDescent="0.25">
      <c r="F2032" t="s">
        <v>2456</v>
      </c>
    </row>
    <row r="2033" spans="6:6" x14ac:dyDescent="0.25">
      <c r="F2033" t="s">
        <v>2457</v>
      </c>
    </row>
    <row r="2034" spans="6:6" x14ac:dyDescent="0.25">
      <c r="F2034" t="s">
        <v>2458</v>
      </c>
    </row>
    <row r="2035" spans="6:6" x14ac:dyDescent="0.25">
      <c r="F2035" t="s">
        <v>2459</v>
      </c>
    </row>
    <row r="2036" spans="6:6" x14ac:dyDescent="0.25">
      <c r="F2036" t="s">
        <v>2460</v>
      </c>
    </row>
    <row r="2037" spans="6:6" x14ac:dyDescent="0.25">
      <c r="F2037" t="s">
        <v>2461</v>
      </c>
    </row>
    <row r="2038" spans="6:6" x14ac:dyDescent="0.25">
      <c r="F2038" t="s">
        <v>2462</v>
      </c>
    </row>
    <row r="2039" spans="6:6" x14ac:dyDescent="0.25">
      <c r="F2039" t="s">
        <v>2463</v>
      </c>
    </row>
    <row r="2040" spans="6:6" x14ac:dyDescent="0.25">
      <c r="F2040" t="s">
        <v>2464</v>
      </c>
    </row>
    <row r="2041" spans="6:6" x14ac:dyDescent="0.25">
      <c r="F2041" t="s">
        <v>2465</v>
      </c>
    </row>
    <row r="2042" spans="6:6" x14ac:dyDescent="0.25">
      <c r="F2042" t="s">
        <v>2466</v>
      </c>
    </row>
    <row r="2043" spans="6:6" x14ac:dyDescent="0.25">
      <c r="F2043" t="s">
        <v>2467</v>
      </c>
    </row>
    <row r="2044" spans="6:6" x14ac:dyDescent="0.25">
      <c r="F2044" t="s">
        <v>2468</v>
      </c>
    </row>
    <row r="2045" spans="6:6" x14ac:dyDescent="0.25">
      <c r="F2045" t="s">
        <v>2469</v>
      </c>
    </row>
    <row r="2046" spans="6:6" x14ac:dyDescent="0.25">
      <c r="F2046" t="s">
        <v>2470</v>
      </c>
    </row>
    <row r="2047" spans="6:6" x14ac:dyDescent="0.25">
      <c r="F2047" t="s">
        <v>2471</v>
      </c>
    </row>
    <row r="2048" spans="6:6" x14ac:dyDescent="0.25">
      <c r="F2048" t="s">
        <v>2472</v>
      </c>
    </row>
    <row r="2049" spans="6:6" x14ac:dyDescent="0.25">
      <c r="F2049" t="s">
        <v>2473</v>
      </c>
    </row>
    <row r="2050" spans="6:6" x14ac:dyDescent="0.25">
      <c r="F2050" t="s">
        <v>2474</v>
      </c>
    </row>
    <row r="2051" spans="6:6" x14ac:dyDescent="0.25">
      <c r="F2051" t="s">
        <v>2475</v>
      </c>
    </row>
    <row r="2052" spans="6:6" x14ac:dyDescent="0.25">
      <c r="F2052" t="s">
        <v>2476</v>
      </c>
    </row>
    <row r="2053" spans="6:6" x14ac:dyDescent="0.25">
      <c r="F2053" t="s">
        <v>2477</v>
      </c>
    </row>
    <row r="2054" spans="6:6" x14ac:dyDescent="0.25">
      <c r="F2054" t="s">
        <v>2478</v>
      </c>
    </row>
    <row r="2055" spans="6:6" x14ac:dyDescent="0.25">
      <c r="F2055" t="s">
        <v>2479</v>
      </c>
    </row>
    <row r="2056" spans="6:6" x14ac:dyDescent="0.25">
      <c r="F2056" t="s">
        <v>2480</v>
      </c>
    </row>
    <row r="2057" spans="6:6" x14ac:dyDescent="0.25">
      <c r="F2057" t="s">
        <v>2481</v>
      </c>
    </row>
    <row r="2058" spans="6:6" x14ac:dyDescent="0.25">
      <c r="F2058" t="s">
        <v>2482</v>
      </c>
    </row>
    <row r="2059" spans="6:6" x14ac:dyDescent="0.25">
      <c r="F2059" t="s">
        <v>2483</v>
      </c>
    </row>
    <row r="2060" spans="6:6" x14ac:dyDescent="0.25">
      <c r="F2060" t="s">
        <v>2484</v>
      </c>
    </row>
    <row r="2061" spans="6:6" x14ac:dyDescent="0.25">
      <c r="F2061" t="s">
        <v>2485</v>
      </c>
    </row>
    <row r="2062" spans="6:6" x14ac:dyDescent="0.25">
      <c r="F2062" t="s">
        <v>2486</v>
      </c>
    </row>
    <row r="2063" spans="6:6" x14ac:dyDescent="0.25">
      <c r="F2063" t="s">
        <v>2487</v>
      </c>
    </row>
    <row r="2064" spans="6:6" x14ac:dyDescent="0.25">
      <c r="F2064" t="s">
        <v>2488</v>
      </c>
    </row>
    <row r="2065" spans="6:6" x14ac:dyDescent="0.25">
      <c r="F2065" t="s">
        <v>2489</v>
      </c>
    </row>
    <row r="2066" spans="6:6" x14ac:dyDescent="0.25">
      <c r="F2066" t="s">
        <v>2490</v>
      </c>
    </row>
    <row r="2067" spans="6:6" x14ac:dyDescent="0.25">
      <c r="F2067" t="s">
        <v>2491</v>
      </c>
    </row>
    <row r="2068" spans="6:6" x14ac:dyDescent="0.25">
      <c r="F2068" t="s">
        <v>2492</v>
      </c>
    </row>
    <row r="2069" spans="6:6" x14ac:dyDescent="0.25">
      <c r="F2069" t="s">
        <v>2493</v>
      </c>
    </row>
    <row r="2070" spans="6:6" x14ac:dyDescent="0.25">
      <c r="F2070" t="s">
        <v>2494</v>
      </c>
    </row>
    <row r="2071" spans="6:6" x14ac:dyDescent="0.25">
      <c r="F2071" t="s">
        <v>2495</v>
      </c>
    </row>
    <row r="2072" spans="6:6" x14ac:dyDescent="0.25">
      <c r="F2072" t="s">
        <v>2496</v>
      </c>
    </row>
    <row r="2073" spans="6:6" x14ac:dyDescent="0.25">
      <c r="F2073" t="s">
        <v>2497</v>
      </c>
    </row>
    <row r="2074" spans="6:6" x14ac:dyDescent="0.25">
      <c r="F2074" t="s">
        <v>2498</v>
      </c>
    </row>
    <row r="2075" spans="6:6" x14ac:dyDescent="0.25">
      <c r="F2075" t="s">
        <v>2499</v>
      </c>
    </row>
    <row r="2076" spans="6:6" x14ac:dyDescent="0.25">
      <c r="F2076" t="s">
        <v>2500</v>
      </c>
    </row>
    <row r="2077" spans="6:6" x14ac:dyDescent="0.25">
      <c r="F2077" t="s">
        <v>2501</v>
      </c>
    </row>
    <row r="2078" spans="6:6" x14ac:dyDescent="0.25">
      <c r="F2078" t="s">
        <v>2502</v>
      </c>
    </row>
    <row r="2079" spans="6:6" x14ac:dyDescent="0.25">
      <c r="F2079" t="s">
        <v>2503</v>
      </c>
    </row>
    <row r="2080" spans="6:6" x14ac:dyDescent="0.25">
      <c r="F2080" t="s">
        <v>2504</v>
      </c>
    </row>
    <row r="2081" spans="6:6" x14ac:dyDescent="0.25">
      <c r="F2081" t="s">
        <v>2505</v>
      </c>
    </row>
    <row r="2082" spans="6:6" x14ac:dyDescent="0.25">
      <c r="F2082" t="s">
        <v>2506</v>
      </c>
    </row>
    <row r="2083" spans="6:6" x14ac:dyDescent="0.25">
      <c r="F2083" t="s">
        <v>2507</v>
      </c>
    </row>
    <row r="2084" spans="6:6" x14ac:dyDescent="0.25">
      <c r="F2084" t="s">
        <v>2508</v>
      </c>
    </row>
    <row r="2085" spans="6:6" x14ac:dyDescent="0.25">
      <c r="F2085" t="s">
        <v>2509</v>
      </c>
    </row>
    <row r="2086" spans="6:6" x14ac:dyDescent="0.25">
      <c r="F2086" t="s">
        <v>2510</v>
      </c>
    </row>
    <row r="2087" spans="6:6" x14ac:dyDescent="0.25">
      <c r="F2087" t="s">
        <v>2511</v>
      </c>
    </row>
    <row r="2088" spans="6:6" x14ac:dyDescent="0.25">
      <c r="F2088" t="s">
        <v>2512</v>
      </c>
    </row>
    <row r="2089" spans="6:6" x14ac:dyDescent="0.25">
      <c r="F2089" t="s">
        <v>2513</v>
      </c>
    </row>
    <row r="2090" spans="6:6" x14ac:dyDescent="0.25">
      <c r="F2090" t="s">
        <v>2514</v>
      </c>
    </row>
    <row r="2091" spans="6:6" x14ac:dyDescent="0.25">
      <c r="F2091" t="s">
        <v>2515</v>
      </c>
    </row>
    <row r="2092" spans="6:6" x14ac:dyDescent="0.25">
      <c r="F2092" t="s">
        <v>2516</v>
      </c>
    </row>
    <row r="2093" spans="6:6" x14ac:dyDescent="0.25">
      <c r="F2093" t="s">
        <v>2517</v>
      </c>
    </row>
    <row r="2094" spans="6:6" x14ac:dyDescent="0.25">
      <c r="F2094" t="s">
        <v>2518</v>
      </c>
    </row>
    <row r="2095" spans="6:6" x14ac:dyDescent="0.25">
      <c r="F2095" t="s">
        <v>2519</v>
      </c>
    </row>
    <row r="2096" spans="6:6" x14ac:dyDescent="0.25">
      <c r="F2096" t="s">
        <v>2520</v>
      </c>
    </row>
    <row r="2097" spans="6:6" x14ac:dyDescent="0.25">
      <c r="F2097" t="s">
        <v>2521</v>
      </c>
    </row>
    <row r="2098" spans="6:6" x14ac:dyDescent="0.25">
      <c r="F2098" t="s">
        <v>2522</v>
      </c>
    </row>
    <row r="2099" spans="6:6" x14ac:dyDescent="0.25">
      <c r="F2099" t="s">
        <v>2523</v>
      </c>
    </row>
    <row r="2100" spans="6:6" x14ac:dyDescent="0.25">
      <c r="F2100" t="s">
        <v>2524</v>
      </c>
    </row>
    <row r="2101" spans="6:6" x14ac:dyDescent="0.25">
      <c r="F2101" t="s">
        <v>2525</v>
      </c>
    </row>
    <row r="2102" spans="6:6" x14ac:dyDescent="0.25">
      <c r="F2102" t="s">
        <v>2526</v>
      </c>
    </row>
    <row r="2103" spans="6:6" x14ac:dyDescent="0.25">
      <c r="F2103" t="s">
        <v>2527</v>
      </c>
    </row>
    <row r="2104" spans="6:6" x14ac:dyDescent="0.25">
      <c r="F2104" t="s">
        <v>2528</v>
      </c>
    </row>
    <row r="2105" spans="6:6" x14ac:dyDescent="0.25">
      <c r="F2105" t="s">
        <v>2529</v>
      </c>
    </row>
    <row r="2106" spans="6:6" x14ac:dyDescent="0.25">
      <c r="F2106" t="s">
        <v>2530</v>
      </c>
    </row>
    <row r="2107" spans="6:6" x14ac:dyDescent="0.25">
      <c r="F2107" t="s">
        <v>2531</v>
      </c>
    </row>
    <row r="2108" spans="6:6" x14ac:dyDescent="0.25">
      <c r="F2108" t="s">
        <v>2532</v>
      </c>
    </row>
    <row r="2109" spans="6:6" x14ac:dyDescent="0.25">
      <c r="F2109" t="s">
        <v>2533</v>
      </c>
    </row>
    <row r="2110" spans="6:6" x14ac:dyDescent="0.25">
      <c r="F2110" t="s">
        <v>2534</v>
      </c>
    </row>
    <row r="2111" spans="6:6" x14ac:dyDescent="0.25">
      <c r="F2111" t="s">
        <v>2535</v>
      </c>
    </row>
    <row r="2112" spans="6:6" x14ac:dyDescent="0.25">
      <c r="F2112" t="s">
        <v>2536</v>
      </c>
    </row>
    <row r="2113" spans="6:6" x14ac:dyDescent="0.25">
      <c r="F2113" t="s">
        <v>2537</v>
      </c>
    </row>
    <row r="2114" spans="6:6" x14ac:dyDescent="0.25">
      <c r="F2114" t="s">
        <v>2538</v>
      </c>
    </row>
    <row r="2115" spans="6:6" x14ac:dyDescent="0.25">
      <c r="F2115" t="s">
        <v>2539</v>
      </c>
    </row>
    <row r="2116" spans="6:6" x14ac:dyDescent="0.25">
      <c r="F2116" t="s">
        <v>2540</v>
      </c>
    </row>
    <row r="2117" spans="6:6" x14ac:dyDescent="0.25">
      <c r="F2117" t="s">
        <v>2541</v>
      </c>
    </row>
    <row r="2118" spans="6:6" x14ac:dyDescent="0.25">
      <c r="F2118" t="s">
        <v>2542</v>
      </c>
    </row>
    <row r="2119" spans="6:6" x14ac:dyDescent="0.25">
      <c r="F2119" t="s">
        <v>2543</v>
      </c>
    </row>
    <row r="2120" spans="6:6" x14ac:dyDescent="0.25">
      <c r="F2120" t="s">
        <v>2544</v>
      </c>
    </row>
    <row r="2121" spans="6:6" x14ac:dyDescent="0.25">
      <c r="F2121" t="s">
        <v>2545</v>
      </c>
    </row>
    <row r="2122" spans="6:6" x14ac:dyDescent="0.25">
      <c r="F2122" t="s">
        <v>2546</v>
      </c>
    </row>
    <row r="2123" spans="6:6" x14ac:dyDescent="0.25">
      <c r="F2123" t="s">
        <v>2547</v>
      </c>
    </row>
    <row r="2124" spans="6:6" x14ac:dyDescent="0.25">
      <c r="F2124" t="s">
        <v>2548</v>
      </c>
    </row>
    <row r="2125" spans="6:6" x14ac:dyDescent="0.25">
      <c r="F2125" t="s">
        <v>2549</v>
      </c>
    </row>
    <row r="2126" spans="6:6" x14ac:dyDescent="0.25">
      <c r="F2126" t="s">
        <v>2550</v>
      </c>
    </row>
    <row r="2127" spans="6:6" x14ac:dyDescent="0.25">
      <c r="F2127" t="s">
        <v>2551</v>
      </c>
    </row>
    <row r="2128" spans="6:6" x14ac:dyDescent="0.25">
      <c r="F2128" t="s">
        <v>2552</v>
      </c>
    </row>
    <row r="2129" spans="6:6" x14ac:dyDescent="0.25">
      <c r="F2129" t="s">
        <v>2553</v>
      </c>
    </row>
    <row r="2130" spans="6:6" x14ac:dyDescent="0.25">
      <c r="F2130" t="s">
        <v>2554</v>
      </c>
    </row>
    <row r="2131" spans="6:6" x14ac:dyDescent="0.25">
      <c r="F2131" t="s">
        <v>2555</v>
      </c>
    </row>
    <row r="2132" spans="6:6" x14ac:dyDescent="0.25">
      <c r="F2132" t="s">
        <v>219</v>
      </c>
    </row>
    <row r="2133" spans="6:6" x14ac:dyDescent="0.25">
      <c r="F2133" t="s">
        <v>2556</v>
      </c>
    </row>
    <row r="2134" spans="6:6" x14ac:dyDescent="0.25">
      <c r="F2134" t="s">
        <v>2557</v>
      </c>
    </row>
    <row r="2135" spans="6:6" x14ac:dyDescent="0.25">
      <c r="F2135" t="s">
        <v>2558</v>
      </c>
    </row>
    <row r="2136" spans="6:6" x14ac:dyDescent="0.25">
      <c r="F2136" t="s">
        <v>2559</v>
      </c>
    </row>
    <row r="2137" spans="6:6" x14ac:dyDescent="0.25">
      <c r="F2137" t="s">
        <v>2560</v>
      </c>
    </row>
    <row r="2138" spans="6:6" x14ac:dyDescent="0.25">
      <c r="F2138" t="s">
        <v>2561</v>
      </c>
    </row>
    <row r="2139" spans="6:6" x14ac:dyDescent="0.25">
      <c r="F2139" t="s">
        <v>2562</v>
      </c>
    </row>
    <row r="2140" spans="6:6" x14ac:dyDescent="0.25">
      <c r="F2140" t="s">
        <v>2563</v>
      </c>
    </row>
    <row r="2141" spans="6:6" x14ac:dyDescent="0.25">
      <c r="F2141" t="s">
        <v>2564</v>
      </c>
    </row>
    <row r="2142" spans="6:6" x14ac:dyDescent="0.25">
      <c r="F2142" t="s">
        <v>2565</v>
      </c>
    </row>
    <row r="2143" spans="6:6" x14ac:dyDescent="0.25">
      <c r="F2143" t="s">
        <v>2566</v>
      </c>
    </row>
    <row r="2144" spans="6:6" x14ac:dyDescent="0.25">
      <c r="F2144" t="s">
        <v>2567</v>
      </c>
    </row>
    <row r="2145" spans="6:6" x14ac:dyDescent="0.25">
      <c r="F2145" t="s">
        <v>2568</v>
      </c>
    </row>
    <row r="2146" spans="6:6" x14ac:dyDescent="0.25">
      <c r="F2146" t="s">
        <v>2569</v>
      </c>
    </row>
    <row r="2147" spans="6:6" x14ac:dyDescent="0.25">
      <c r="F2147" t="s">
        <v>2570</v>
      </c>
    </row>
    <row r="2148" spans="6:6" x14ac:dyDescent="0.25">
      <c r="F2148" t="s">
        <v>2571</v>
      </c>
    </row>
    <row r="2149" spans="6:6" x14ac:dyDescent="0.25">
      <c r="F2149" t="s">
        <v>2572</v>
      </c>
    </row>
    <row r="2150" spans="6:6" x14ac:dyDescent="0.25">
      <c r="F2150" t="s">
        <v>2573</v>
      </c>
    </row>
    <row r="2151" spans="6:6" x14ac:dyDescent="0.25">
      <c r="F2151" t="s">
        <v>2574</v>
      </c>
    </row>
    <row r="2152" spans="6:6" x14ac:dyDescent="0.25">
      <c r="F2152" t="s">
        <v>2575</v>
      </c>
    </row>
    <row r="2153" spans="6:6" x14ac:dyDescent="0.25">
      <c r="F2153" t="s">
        <v>2576</v>
      </c>
    </row>
    <row r="2154" spans="6:6" x14ac:dyDescent="0.25">
      <c r="F2154" t="s">
        <v>2577</v>
      </c>
    </row>
    <row r="2155" spans="6:6" x14ac:dyDescent="0.25">
      <c r="F2155" t="s">
        <v>2578</v>
      </c>
    </row>
    <row r="2156" spans="6:6" x14ac:dyDescent="0.25">
      <c r="F2156" t="s">
        <v>2579</v>
      </c>
    </row>
    <row r="2157" spans="6:6" x14ac:dyDescent="0.25">
      <c r="F2157" t="s">
        <v>2580</v>
      </c>
    </row>
    <row r="2158" spans="6:6" x14ac:dyDescent="0.25">
      <c r="F2158" t="s">
        <v>2581</v>
      </c>
    </row>
    <row r="2159" spans="6:6" x14ac:dyDescent="0.25">
      <c r="F2159" t="s">
        <v>2582</v>
      </c>
    </row>
    <row r="2160" spans="6:6" x14ac:dyDescent="0.25">
      <c r="F2160" t="s">
        <v>2583</v>
      </c>
    </row>
    <row r="2161" spans="6:6" x14ac:dyDescent="0.25">
      <c r="F2161" t="s">
        <v>2584</v>
      </c>
    </row>
    <row r="2162" spans="6:6" x14ac:dyDescent="0.25">
      <c r="F2162" t="s">
        <v>2585</v>
      </c>
    </row>
    <row r="2163" spans="6:6" x14ac:dyDescent="0.25">
      <c r="F2163" t="s">
        <v>2586</v>
      </c>
    </row>
    <row r="2164" spans="6:6" x14ac:dyDescent="0.25">
      <c r="F2164" t="s">
        <v>2587</v>
      </c>
    </row>
    <row r="2165" spans="6:6" x14ac:dyDescent="0.25">
      <c r="F2165" t="s">
        <v>2588</v>
      </c>
    </row>
    <row r="2166" spans="6:6" x14ac:dyDescent="0.25">
      <c r="F2166" t="s">
        <v>2589</v>
      </c>
    </row>
    <row r="2167" spans="6:6" x14ac:dyDescent="0.25">
      <c r="F2167" t="s">
        <v>2590</v>
      </c>
    </row>
    <row r="2168" spans="6:6" x14ac:dyDescent="0.25">
      <c r="F2168" t="s">
        <v>2591</v>
      </c>
    </row>
    <row r="2169" spans="6:6" x14ac:dyDescent="0.25">
      <c r="F2169" t="s">
        <v>2592</v>
      </c>
    </row>
    <row r="2170" spans="6:6" x14ac:dyDescent="0.25">
      <c r="F2170" t="s">
        <v>2593</v>
      </c>
    </row>
    <row r="2171" spans="6:6" x14ac:dyDescent="0.25">
      <c r="F2171" t="s">
        <v>2594</v>
      </c>
    </row>
    <row r="2172" spans="6:6" x14ac:dyDescent="0.25">
      <c r="F2172" t="s">
        <v>2595</v>
      </c>
    </row>
    <row r="2173" spans="6:6" x14ac:dyDescent="0.25">
      <c r="F2173" t="s">
        <v>2596</v>
      </c>
    </row>
    <row r="2174" spans="6:6" x14ac:dyDescent="0.25">
      <c r="F2174" t="s">
        <v>2597</v>
      </c>
    </row>
    <row r="2175" spans="6:6" x14ac:dyDescent="0.25">
      <c r="F2175" t="s">
        <v>2598</v>
      </c>
    </row>
    <row r="2176" spans="6:6" x14ac:dyDescent="0.25">
      <c r="F2176" t="s">
        <v>2599</v>
      </c>
    </row>
    <row r="2177" spans="6:6" x14ac:dyDescent="0.25">
      <c r="F2177" t="s">
        <v>158</v>
      </c>
    </row>
    <row r="2178" spans="6:6" x14ac:dyDescent="0.25">
      <c r="F2178" t="s">
        <v>2600</v>
      </c>
    </row>
    <row r="2179" spans="6:6" x14ac:dyDescent="0.25">
      <c r="F2179" t="s">
        <v>2601</v>
      </c>
    </row>
    <row r="2180" spans="6:6" x14ac:dyDescent="0.25">
      <c r="F2180" t="s">
        <v>2602</v>
      </c>
    </row>
    <row r="2181" spans="6:6" x14ac:dyDescent="0.25">
      <c r="F2181" t="s">
        <v>2603</v>
      </c>
    </row>
    <row r="2182" spans="6:6" x14ac:dyDescent="0.25">
      <c r="F2182" t="s">
        <v>2604</v>
      </c>
    </row>
    <row r="2183" spans="6:6" x14ac:dyDescent="0.25">
      <c r="F2183" t="s">
        <v>2605</v>
      </c>
    </row>
    <row r="2184" spans="6:6" x14ac:dyDescent="0.25">
      <c r="F2184" t="s">
        <v>2606</v>
      </c>
    </row>
    <row r="2185" spans="6:6" x14ac:dyDescent="0.25">
      <c r="F2185" t="s">
        <v>2607</v>
      </c>
    </row>
    <row r="2186" spans="6:6" x14ac:dyDescent="0.25">
      <c r="F2186" t="s">
        <v>2608</v>
      </c>
    </row>
    <row r="2187" spans="6:6" x14ac:dyDescent="0.25">
      <c r="F2187" t="s">
        <v>2609</v>
      </c>
    </row>
    <row r="2188" spans="6:6" x14ac:dyDescent="0.25">
      <c r="F2188" t="s">
        <v>2610</v>
      </c>
    </row>
    <row r="2189" spans="6:6" x14ac:dyDescent="0.25">
      <c r="F2189" t="s">
        <v>2611</v>
      </c>
    </row>
    <row r="2190" spans="6:6" x14ac:dyDescent="0.25">
      <c r="F2190" t="s">
        <v>2612</v>
      </c>
    </row>
    <row r="2191" spans="6:6" x14ac:dyDescent="0.25">
      <c r="F2191" t="s">
        <v>2613</v>
      </c>
    </row>
    <row r="2192" spans="6:6" x14ac:dyDescent="0.25">
      <c r="F2192" t="s">
        <v>2614</v>
      </c>
    </row>
    <row r="2193" spans="6:6" x14ac:dyDescent="0.25">
      <c r="F2193" t="s">
        <v>2615</v>
      </c>
    </row>
    <row r="2194" spans="6:6" x14ac:dyDescent="0.25">
      <c r="F2194" t="s">
        <v>2616</v>
      </c>
    </row>
    <row r="2195" spans="6:6" x14ac:dyDescent="0.25">
      <c r="F2195" t="s">
        <v>2617</v>
      </c>
    </row>
    <row r="2196" spans="6:6" x14ac:dyDescent="0.25">
      <c r="F2196" t="s">
        <v>2618</v>
      </c>
    </row>
    <row r="2197" spans="6:6" x14ac:dyDescent="0.25">
      <c r="F2197" t="s">
        <v>2619</v>
      </c>
    </row>
    <row r="2198" spans="6:6" x14ac:dyDescent="0.25">
      <c r="F2198" t="s">
        <v>2620</v>
      </c>
    </row>
    <row r="2199" spans="6:6" x14ac:dyDescent="0.25">
      <c r="F2199" t="s">
        <v>2621</v>
      </c>
    </row>
    <row r="2200" spans="6:6" x14ac:dyDescent="0.25">
      <c r="F2200" t="s">
        <v>2622</v>
      </c>
    </row>
    <row r="2201" spans="6:6" x14ac:dyDescent="0.25">
      <c r="F2201" t="s">
        <v>982</v>
      </c>
    </row>
    <row r="2202" spans="6:6" x14ac:dyDescent="0.25">
      <c r="F2202" t="s">
        <v>2623</v>
      </c>
    </row>
    <row r="2203" spans="6:6" x14ac:dyDescent="0.25">
      <c r="F2203" t="s">
        <v>2624</v>
      </c>
    </row>
    <row r="2204" spans="6:6" x14ac:dyDescent="0.25">
      <c r="F2204" t="s">
        <v>2625</v>
      </c>
    </row>
    <row r="2205" spans="6:6" x14ac:dyDescent="0.25">
      <c r="F2205" t="s">
        <v>103</v>
      </c>
    </row>
    <row r="2206" spans="6:6" x14ac:dyDescent="0.25">
      <c r="F2206" t="s">
        <v>2626</v>
      </c>
    </row>
    <row r="2207" spans="6:6" x14ac:dyDescent="0.25">
      <c r="F2207" t="s">
        <v>2627</v>
      </c>
    </row>
    <row r="2208" spans="6:6" x14ac:dyDescent="0.25">
      <c r="F2208" t="s">
        <v>2628</v>
      </c>
    </row>
    <row r="2209" spans="6:6" x14ac:dyDescent="0.25">
      <c r="F2209" t="s">
        <v>2629</v>
      </c>
    </row>
    <row r="2210" spans="6:6" x14ac:dyDescent="0.25">
      <c r="F2210" t="s">
        <v>2630</v>
      </c>
    </row>
    <row r="2211" spans="6:6" x14ac:dyDescent="0.25">
      <c r="F2211" t="s">
        <v>2631</v>
      </c>
    </row>
    <row r="2212" spans="6:6" x14ac:dyDescent="0.25">
      <c r="F2212" t="s">
        <v>2632</v>
      </c>
    </row>
    <row r="2213" spans="6:6" x14ac:dyDescent="0.25">
      <c r="F2213" t="s">
        <v>2633</v>
      </c>
    </row>
    <row r="2214" spans="6:6" x14ac:dyDescent="0.25">
      <c r="F2214" t="s">
        <v>2634</v>
      </c>
    </row>
    <row r="2215" spans="6:6" x14ac:dyDescent="0.25">
      <c r="F2215" t="s">
        <v>2635</v>
      </c>
    </row>
    <row r="2216" spans="6:6" x14ac:dyDescent="0.25">
      <c r="F2216" t="s">
        <v>2636</v>
      </c>
    </row>
    <row r="2217" spans="6:6" x14ac:dyDescent="0.25">
      <c r="F2217" t="s">
        <v>2637</v>
      </c>
    </row>
    <row r="2218" spans="6:6" x14ac:dyDescent="0.25">
      <c r="F2218" t="s">
        <v>209</v>
      </c>
    </row>
    <row r="2219" spans="6:6" x14ac:dyDescent="0.25">
      <c r="F2219" t="s">
        <v>2638</v>
      </c>
    </row>
    <row r="2220" spans="6:6" x14ac:dyDescent="0.25">
      <c r="F2220" t="s">
        <v>2639</v>
      </c>
    </row>
    <row r="2221" spans="6:6" x14ac:dyDescent="0.25">
      <c r="F2221" t="s">
        <v>2640</v>
      </c>
    </row>
    <row r="2222" spans="6:6" x14ac:dyDescent="0.25">
      <c r="F2222" t="s">
        <v>2641</v>
      </c>
    </row>
    <row r="2223" spans="6:6" x14ac:dyDescent="0.25">
      <c r="F2223" t="s">
        <v>2642</v>
      </c>
    </row>
    <row r="2224" spans="6:6" x14ac:dyDescent="0.25">
      <c r="F2224" t="s">
        <v>2643</v>
      </c>
    </row>
    <row r="2225" spans="6:6" x14ac:dyDescent="0.25">
      <c r="F2225" t="s">
        <v>2644</v>
      </c>
    </row>
    <row r="2226" spans="6:6" x14ac:dyDescent="0.25">
      <c r="F2226" t="s">
        <v>2645</v>
      </c>
    </row>
    <row r="2227" spans="6:6" x14ac:dyDescent="0.25">
      <c r="F2227" t="s">
        <v>2646</v>
      </c>
    </row>
    <row r="2228" spans="6:6" x14ac:dyDescent="0.25">
      <c r="F2228" t="s">
        <v>2647</v>
      </c>
    </row>
    <row r="2229" spans="6:6" x14ac:dyDescent="0.25">
      <c r="F2229" t="s">
        <v>2648</v>
      </c>
    </row>
    <row r="2230" spans="6:6" x14ac:dyDescent="0.25">
      <c r="F2230" t="s">
        <v>2649</v>
      </c>
    </row>
    <row r="2231" spans="6:6" x14ac:dyDescent="0.25">
      <c r="F2231" t="s">
        <v>2650</v>
      </c>
    </row>
    <row r="2232" spans="6:6" x14ac:dyDescent="0.25">
      <c r="F2232" t="s">
        <v>2651</v>
      </c>
    </row>
    <row r="2233" spans="6:6" x14ac:dyDescent="0.25">
      <c r="F2233" t="s">
        <v>2652</v>
      </c>
    </row>
    <row r="2234" spans="6:6" x14ac:dyDescent="0.25">
      <c r="F2234" t="s">
        <v>2653</v>
      </c>
    </row>
    <row r="2235" spans="6:6" x14ac:dyDescent="0.25">
      <c r="F2235" t="s">
        <v>2654</v>
      </c>
    </row>
    <row r="2236" spans="6:6" x14ac:dyDescent="0.25">
      <c r="F2236" t="s">
        <v>2655</v>
      </c>
    </row>
    <row r="2237" spans="6:6" x14ac:dyDescent="0.25">
      <c r="F2237" t="s">
        <v>2656</v>
      </c>
    </row>
    <row r="2238" spans="6:6" x14ac:dyDescent="0.25">
      <c r="F2238" t="s">
        <v>2657</v>
      </c>
    </row>
    <row r="2239" spans="6:6" x14ac:dyDescent="0.25">
      <c r="F2239" t="s">
        <v>2658</v>
      </c>
    </row>
    <row r="2240" spans="6:6" x14ac:dyDescent="0.25">
      <c r="F2240" t="s">
        <v>2659</v>
      </c>
    </row>
    <row r="2241" spans="6:6" x14ac:dyDescent="0.25">
      <c r="F2241" t="s">
        <v>2660</v>
      </c>
    </row>
    <row r="2242" spans="6:6" x14ac:dyDescent="0.25">
      <c r="F2242" t="s">
        <v>2661</v>
      </c>
    </row>
    <row r="2243" spans="6:6" x14ac:dyDescent="0.25">
      <c r="F2243" t="s">
        <v>2662</v>
      </c>
    </row>
    <row r="2244" spans="6:6" x14ac:dyDescent="0.25">
      <c r="F2244" t="s">
        <v>2663</v>
      </c>
    </row>
    <row r="2245" spans="6:6" x14ac:dyDescent="0.25">
      <c r="F2245" t="s">
        <v>2664</v>
      </c>
    </row>
    <row r="2246" spans="6:6" x14ac:dyDescent="0.25">
      <c r="F2246" t="s">
        <v>2665</v>
      </c>
    </row>
    <row r="2247" spans="6:6" x14ac:dyDescent="0.25">
      <c r="F2247" t="s">
        <v>2666</v>
      </c>
    </row>
    <row r="2248" spans="6:6" x14ac:dyDescent="0.25">
      <c r="F2248" t="s">
        <v>2667</v>
      </c>
    </row>
    <row r="2249" spans="6:6" x14ac:dyDescent="0.25">
      <c r="F2249" t="s">
        <v>2668</v>
      </c>
    </row>
    <row r="2250" spans="6:6" x14ac:dyDescent="0.25">
      <c r="F2250" t="s">
        <v>2669</v>
      </c>
    </row>
    <row r="2251" spans="6:6" x14ac:dyDescent="0.25">
      <c r="F2251" t="s">
        <v>2670</v>
      </c>
    </row>
    <row r="2252" spans="6:6" x14ac:dyDescent="0.25">
      <c r="F2252" t="s">
        <v>2671</v>
      </c>
    </row>
    <row r="2253" spans="6:6" x14ac:dyDescent="0.25">
      <c r="F2253" t="s">
        <v>2672</v>
      </c>
    </row>
    <row r="2254" spans="6:6" x14ac:dyDescent="0.25">
      <c r="F2254" t="s">
        <v>2673</v>
      </c>
    </row>
    <row r="2255" spans="6:6" x14ac:dyDescent="0.25">
      <c r="F2255" t="s">
        <v>2674</v>
      </c>
    </row>
    <row r="2256" spans="6:6" x14ac:dyDescent="0.25">
      <c r="F2256" t="s">
        <v>2675</v>
      </c>
    </row>
    <row r="2257" spans="6:6" x14ac:dyDescent="0.25">
      <c r="F2257" t="s">
        <v>2676</v>
      </c>
    </row>
    <row r="2258" spans="6:6" x14ac:dyDescent="0.25">
      <c r="F2258" t="s">
        <v>2677</v>
      </c>
    </row>
    <row r="2259" spans="6:6" x14ac:dyDescent="0.25">
      <c r="F2259" t="s">
        <v>2678</v>
      </c>
    </row>
    <row r="2260" spans="6:6" x14ac:dyDescent="0.25">
      <c r="F2260" t="s">
        <v>2679</v>
      </c>
    </row>
    <row r="2261" spans="6:6" x14ac:dyDescent="0.25">
      <c r="F2261" t="s">
        <v>2680</v>
      </c>
    </row>
    <row r="2262" spans="6:6" x14ac:dyDescent="0.25">
      <c r="F2262" t="s">
        <v>2681</v>
      </c>
    </row>
    <row r="2263" spans="6:6" x14ac:dyDescent="0.25">
      <c r="F2263" t="s">
        <v>2682</v>
      </c>
    </row>
    <row r="2264" spans="6:6" x14ac:dyDescent="0.25">
      <c r="F2264" t="s">
        <v>2683</v>
      </c>
    </row>
    <row r="2265" spans="6:6" x14ac:dyDescent="0.25">
      <c r="F2265" t="s">
        <v>2684</v>
      </c>
    </row>
    <row r="2266" spans="6:6" x14ac:dyDescent="0.25">
      <c r="F2266" t="s">
        <v>2685</v>
      </c>
    </row>
    <row r="2267" spans="6:6" x14ac:dyDescent="0.25">
      <c r="F2267" t="s">
        <v>2686</v>
      </c>
    </row>
    <row r="2268" spans="6:6" x14ac:dyDescent="0.25">
      <c r="F2268" t="s">
        <v>2687</v>
      </c>
    </row>
    <row r="2269" spans="6:6" x14ac:dyDescent="0.25">
      <c r="F2269" t="s">
        <v>2688</v>
      </c>
    </row>
    <row r="2270" spans="6:6" x14ac:dyDescent="0.25">
      <c r="F2270" t="s">
        <v>2689</v>
      </c>
    </row>
    <row r="2271" spans="6:6" x14ac:dyDescent="0.25">
      <c r="F2271" t="s">
        <v>2690</v>
      </c>
    </row>
    <row r="2272" spans="6:6" x14ac:dyDescent="0.25">
      <c r="F2272" t="s">
        <v>2691</v>
      </c>
    </row>
    <row r="2273" spans="6:6" x14ac:dyDescent="0.25">
      <c r="F2273" t="s">
        <v>2692</v>
      </c>
    </row>
    <row r="2274" spans="6:6" x14ac:dyDescent="0.25">
      <c r="F2274" t="s">
        <v>2693</v>
      </c>
    </row>
    <row r="2275" spans="6:6" x14ac:dyDescent="0.25">
      <c r="F2275" t="s">
        <v>2694</v>
      </c>
    </row>
    <row r="2276" spans="6:6" x14ac:dyDescent="0.25">
      <c r="F2276" t="s">
        <v>2695</v>
      </c>
    </row>
    <row r="2277" spans="6:6" x14ac:dyDescent="0.25">
      <c r="F2277" t="s">
        <v>2696</v>
      </c>
    </row>
    <row r="2278" spans="6:6" x14ac:dyDescent="0.25">
      <c r="F2278" t="s">
        <v>2697</v>
      </c>
    </row>
    <row r="2279" spans="6:6" x14ac:dyDescent="0.25">
      <c r="F2279" t="s">
        <v>2698</v>
      </c>
    </row>
    <row r="2280" spans="6:6" x14ac:dyDescent="0.25">
      <c r="F2280" t="s">
        <v>2699</v>
      </c>
    </row>
    <row r="2281" spans="6:6" x14ac:dyDescent="0.25">
      <c r="F2281" t="s">
        <v>2700</v>
      </c>
    </row>
    <row r="2282" spans="6:6" x14ac:dyDescent="0.25">
      <c r="F2282" t="s">
        <v>2701</v>
      </c>
    </row>
    <row r="2283" spans="6:6" x14ac:dyDescent="0.25">
      <c r="F2283" t="s">
        <v>2702</v>
      </c>
    </row>
    <row r="2284" spans="6:6" x14ac:dyDescent="0.25">
      <c r="F2284" t="s">
        <v>2703</v>
      </c>
    </row>
    <row r="2285" spans="6:6" x14ac:dyDescent="0.25">
      <c r="F2285" t="s">
        <v>2704</v>
      </c>
    </row>
    <row r="2286" spans="6:6" x14ac:dyDescent="0.25">
      <c r="F2286" t="s">
        <v>2705</v>
      </c>
    </row>
    <row r="2287" spans="6:6" x14ac:dyDescent="0.25">
      <c r="F2287" t="s">
        <v>2706</v>
      </c>
    </row>
    <row r="2288" spans="6:6" x14ac:dyDescent="0.25">
      <c r="F2288" t="s">
        <v>2707</v>
      </c>
    </row>
    <row r="2289" spans="6:6" x14ac:dyDescent="0.25">
      <c r="F2289" t="s">
        <v>2708</v>
      </c>
    </row>
    <row r="2290" spans="6:6" x14ac:dyDescent="0.25">
      <c r="F2290" t="s">
        <v>235</v>
      </c>
    </row>
    <row r="2291" spans="6:6" x14ac:dyDescent="0.25">
      <c r="F2291" t="s">
        <v>2709</v>
      </c>
    </row>
    <row r="2292" spans="6:6" x14ac:dyDescent="0.25">
      <c r="F2292" t="s">
        <v>2710</v>
      </c>
    </row>
    <row r="2293" spans="6:6" x14ac:dyDescent="0.25">
      <c r="F2293" t="s">
        <v>2711</v>
      </c>
    </row>
    <row r="2294" spans="6:6" x14ac:dyDescent="0.25">
      <c r="F2294" t="s">
        <v>2712</v>
      </c>
    </row>
    <row r="2295" spans="6:6" x14ac:dyDescent="0.25">
      <c r="F2295" t="s">
        <v>2713</v>
      </c>
    </row>
    <row r="2296" spans="6:6" x14ac:dyDescent="0.25">
      <c r="F2296" t="s">
        <v>2714</v>
      </c>
    </row>
    <row r="2297" spans="6:6" x14ac:dyDescent="0.25">
      <c r="F2297" t="s">
        <v>2715</v>
      </c>
    </row>
    <row r="2298" spans="6:6" x14ac:dyDescent="0.25">
      <c r="F2298" t="s">
        <v>2716</v>
      </c>
    </row>
    <row r="2299" spans="6:6" x14ac:dyDescent="0.25">
      <c r="F2299" t="s">
        <v>2717</v>
      </c>
    </row>
    <row r="2300" spans="6:6" x14ac:dyDescent="0.25">
      <c r="F2300" t="s">
        <v>2718</v>
      </c>
    </row>
    <row r="2301" spans="6:6" x14ac:dyDescent="0.25">
      <c r="F2301" t="s">
        <v>2719</v>
      </c>
    </row>
    <row r="2302" spans="6:6" x14ac:dyDescent="0.25">
      <c r="F2302" t="s">
        <v>2720</v>
      </c>
    </row>
    <row r="2303" spans="6:6" x14ac:dyDescent="0.25">
      <c r="F2303" t="s">
        <v>2721</v>
      </c>
    </row>
    <row r="2304" spans="6:6" x14ac:dyDescent="0.25">
      <c r="F2304" t="s">
        <v>2722</v>
      </c>
    </row>
    <row r="2305" spans="6:6" x14ac:dyDescent="0.25">
      <c r="F2305" t="s">
        <v>2723</v>
      </c>
    </row>
    <row r="2306" spans="6:6" x14ac:dyDescent="0.25">
      <c r="F2306" t="s">
        <v>2724</v>
      </c>
    </row>
    <row r="2307" spans="6:6" x14ac:dyDescent="0.25">
      <c r="F2307" t="s">
        <v>2725</v>
      </c>
    </row>
    <row r="2308" spans="6:6" x14ac:dyDescent="0.25">
      <c r="F2308" t="s">
        <v>2726</v>
      </c>
    </row>
    <row r="2309" spans="6:6" x14ac:dyDescent="0.25">
      <c r="F2309" t="s">
        <v>2727</v>
      </c>
    </row>
    <row r="2310" spans="6:6" x14ac:dyDescent="0.25">
      <c r="F2310" t="s">
        <v>2728</v>
      </c>
    </row>
    <row r="2311" spans="6:6" x14ac:dyDescent="0.25">
      <c r="F2311" t="s">
        <v>2729</v>
      </c>
    </row>
    <row r="2312" spans="6:6" x14ac:dyDescent="0.25">
      <c r="F2312" t="s">
        <v>2730</v>
      </c>
    </row>
    <row r="2313" spans="6:6" x14ac:dyDescent="0.25">
      <c r="F2313" t="s">
        <v>2731</v>
      </c>
    </row>
    <row r="2314" spans="6:6" x14ac:dyDescent="0.25">
      <c r="F2314" t="s">
        <v>2732</v>
      </c>
    </row>
    <row r="2315" spans="6:6" x14ac:dyDescent="0.25">
      <c r="F2315" t="s">
        <v>2733</v>
      </c>
    </row>
    <row r="2316" spans="6:6" x14ac:dyDescent="0.25">
      <c r="F2316" t="s">
        <v>2734</v>
      </c>
    </row>
    <row r="2317" spans="6:6" x14ac:dyDescent="0.25">
      <c r="F2317" t="s">
        <v>2735</v>
      </c>
    </row>
    <row r="2318" spans="6:6" x14ac:dyDescent="0.25">
      <c r="F2318" t="s">
        <v>2736</v>
      </c>
    </row>
    <row r="2319" spans="6:6" x14ac:dyDescent="0.25">
      <c r="F2319" t="s">
        <v>2737</v>
      </c>
    </row>
    <row r="2320" spans="6:6" x14ac:dyDescent="0.25">
      <c r="F2320" t="s">
        <v>2738</v>
      </c>
    </row>
    <row r="2321" spans="6:6" x14ac:dyDescent="0.25">
      <c r="F2321" t="s">
        <v>2739</v>
      </c>
    </row>
    <row r="2322" spans="6:6" x14ac:dyDescent="0.25">
      <c r="F2322" t="s">
        <v>2740</v>
      </c>
    </row>
    <row r="2323" spans="6:6" x14ac:dyDescent="0.25">
      <c r="F2323" t="s">
        <v>2741</v>
      </c>
    </row>
    <row r="2324" spans="6:6" x14ac:dyDescent="0.25">
      <c r="F2324" t="s">
        <v>2742</v>
      </c>
    </row>
    <row r="2325" spans="6:6" x14ac:dyDescent="0.25">
      <c r="F2325" t="s">
        <v>2743</v>
      </c>
    </row>
    <row r="2326" spans="6:6" x14ac:dyDescent="0.25">
      <c r="F2326" t="s">
        <v>2744</v>
      </c>
    </row>
    <row r="2327" spans="6:6" x14ac:dyDescent="0.25">
      <c r="F2327" t="s">
        <v>2745</v>
      </c>
    </row>
    <row r="2328" spans="6:6" x14ac:dyDescent="0.25">
      <c r="F2328" t="s">
        <v>2746</v>
      </c>
    </row>
    <row r="2329" spans="6:6" x14ac:dyDescent="0.25">
      <c r="F2329" t="s">
        <v>2747</v>
      </c>
    </row>
    <row r="2330" spans="6:6" x14ac:dyDescent="0.25">
      <c r="F2330" t="s">
        <v>2748</v>
      </c>
    </row>
    <row r="2331" spans="6:6" x14ac:dyDescent="0.25">
      <c r="F2331" t="s">
        <v>2749</v>
      </c>
    </row>
    <row r="2332" spans="6:6" x14ac:dyDescent="0.25">
      <c r="F2332" t="s">
        <v>2750</v>
      </c>
    </row>
    <row r="2333" spans="6:6" x14ac:dyDescent="0.25">
      <c r="F2333" t="s">
        <v>2751</v>
      </c>
    </row>
    <row r="2334" spans="6:6" x14ac:dyDescent="0.25">
      <c r="F2334" t="s">
        <v>2752</v>
      </c>
    </row>
    <row r="2335" spans="6:6" x14ac:dyDescent="0.25">
      <c r="F2335" t="s">
        <v>2753</v>
      </c>
    </row>
    <row r="2336" spans="6:6" x14ac:dyDescent="0.25">
      <c r="F2336" t="s">
        <v>2754</v>
      </c>
    </row>
    <row r="2337" spans="6:6" x14ac:dyDescent="0.25">
      <c r="F2337" t="s">
        <v>2755</v>
      </c>
    </row>
    <row r="2338" spans="6:6" x14ac:dyDescent="0.25">
      <c r="F2338" t="s">
        <v>2756</v>
      </c>
    </row>
    <row r="2339" spans="6:6" x14ac:dyDescent="0.25">
      <c r="F2339" t="s">
        <v>2757</v>
      </c>
    </row>
    <row r="2340" spans="6:6" x14ac:dyDescent="0.25">
      <c r="F2340" t="s">
        <v>2758</v>
      </c>
    </row>
    <row r="2341" spans="6:6" x14ac:dyDescent="0.25">
      <c r="F2341" t="s">
        <v>2759</v>
      </c>
    </row>
    <row r="2342" spans="6:6" x14ac:dyDescent="0.25">
      <c r="F2342" t="s">
        <v>2760</v>
      </c>
    </row>
    <row r="2343" spans="6:6" x14ac:dyDescent="0.25">
      <c r="F2343" t="s">
        <v>2761</v>
      </c>
    </row>
    <row r="2344" spans="6:6" x14ac:dyDescent="0.25">
      <c r="F2344" t="s">
        <v>2762</v>
      </c>
    </row>
    <row r="2345" spans="6:6" x14ac:dyDescent="0.25">
      <c r="F2345" t="s">
        <v>2763</v>
      </c>
    </row>
    <row r="2346" spans="6:6" x14ac:dyDescent="0.25">
      <c r="F2346" t="s">
        <v>2764</v>
      </c>
    </row>
    <row r="2347" spans="6:6" x14ac:dyDescent="0.25">
      <c r="F2347" t="s">
        <v>2765</v>
      </c>
    </row>
    <row r="2348" spans="6:6" x14ac:dyDescent="0.25">
      <c r="F2348" t="s">
        <v>2766</v>
      </c>
    </row>
    <row r="2349" spans="6:6" x14ac:dyDescent="0.25">
      <c r="F2349" t="s">
        <v>102</v>
      </c>
    </row>
    <row r="2350" spans="6:6" x14ac:dyDescent="0.25">
      <c r="F2350" t="s">
        <v>2767</v>
      </c>
    </row>
    <row r="2351" spans="6:6" x14ac:dyDescent="0.25">
      <c r="F2351" t="s">
        <v>2768</v>
      </c>
    </row>
    <row r="2352" spans="6:6" x14ac:dyDescent="0.25">
      <c r="F2352" t="s">
        <v>2769</v>
      </c>
    </row>
    <row r="2353" spans="6:6" x14ac:dyDescent="0.25">
      <c r="F2353" t="s">
        <v>2770</v>
      </c>
    </row>
    <row r="2354" spans="6:6" x14ac:dyDescent="0.25">
      <c r="F2354" t="s">
        <v>2771</v>
      </c>
    </row>
    <row r="2355" spans="6:6" x14ac:dyDescent="0.25">
      <c r="F2355" t="s">
        <v>2772</v>
      </c>
    </row>
    <row r="2356" spans="6:6" x14ac:dyDescent="0.25">
      <c r="F2356" t="s">
        <v>2773</v>
      </c>
    </row>
    <row r="2357" spans="6:6" x14ac:dyDescent="0.25">
      <c r="F2357" t="s">
        <v>2774</v>
      </c>
    </row>
    <row r="2358" spans="6:6" x14ac:dyDescent="0.25">
      <c r="F2358" t="s">
        <v>2775</v>
      </c>
    </row>
    <row r="2359" spans="6:6" x14ac:dyDescent="0.25">
      <c r="F2359" t="s">
        <v>2776</v>
      </c>
    </row>
    <row r="2360" spans="6:6" x14ac:dyDescent="0.25">
      <c r="F2360" t="s">
        <v>2777</v>
      </c>
    </row>
    <row r="2361" spans="6:6" x14ac:dyDescent="0.25">
      <c r="F2361" t="s">
        <v>2778</v>
      </c>
    </row>
    <row r="2362" spans="6:6" x14ac:dyDescent="0.25">
      <c r="F2362" t="s">
        <v>2779</v>
      </c>
    </row>
    <row r="2363" spans="6:6" x14ac:dyDescent="0.25">
      <c r="F2363" t="s">
        <v>2780</v>
      </c>
    </row>
    <row r="2364" spans="6:6" x14ac:dyDescent="0.25">
      <c r="F2364" t="s">
        <v>2781</v>
      </c>
    </row>
    <row r="2365" spans="6:6" x14ac:dyDescent="0.25">
      <c r="F2365" t="s">
        <v>2782</v>
      </c>
    </row>
    <row r="2366" spans="6:6" x14ac:dyDescent="0.25">
      <c r="F2366" t="s">
        <v>2783</v>
      </c>
    </row>
    <row r="2367" spans="6:6" x14ac:dyDescent="0.25">
      <c r="F2367" t="s">
        <v>2784</v>
      </c>
    </row>
    <row r="2368" spans="6:6" x14ac:dyDescent="0.25">
      <c r="F2368" t="s">
        <v>2785</v>
      </c>
    </row>
    <row r="2369" spans="6:6" x14ac:dyDescent="0.25">
      <c r="F2369" t="s">
        <v>67</v>
      </c>
    </row>
    <row r="2370" spans="6:6" x14ac:dyDescent="0.25">
      <c r="F2370" t="s">
        <v>2786</v>
      </c>
    </row>
    <row r="2371" spans="6:6" x14ac:dyDescent="0.25">
      <c r="F2371" t="s">
        <v>2787</v>
      </c>
    </row>
    <row r="2372" spans="6:6" x14ac:dyDescent="0.25">
      <c r="F2372" t="s">
        <v>2788</v>
      </c>
    </row>
    <row r="2373" spans="6:6" x14ac:dyDescent="0.25">
      <c r="F2373" t="s">
        <v>2789</v>
      </c>
    </row>
    <row r="2374" spans="6:6" x14ac:dyDescent="0.25">
      <c r="F2374" t="s">
        <v>2790</v>
      </c>
    </row>
    <row r="2375" spans="6:6" x14ac:dyDescent="0.25">
      <c r="F2375" t="s">
        <v>2791</v>
      </c>
    </row>
    <row r="2376" spans="6:6" x14ac:dyDescent="0.25">
      <c r="F2376" t="s">
        <v>2792</v>
      </c>
    </row>
    <row r="2377" spans="6:6" x14ac:dyDescent="0.25">
      <c r="F2377" t="s">
        <v>2793</v>
      </c>
    </row>
    <row r="2378" spans="6:6" x14ac:dyDescent="0.25">
      <c r="F2378" t="s">
        <v>2794</v>
      </c>
    </row>
    <row r="2379" spans="6:6" x14ac:dyDescent="0.25">
      <c r="F2379" t="s">
        <v>2795</v>
      </c>
    </row>
    <row r="2380" spans="6:6" x14ac:dyDescent="0.25">
      <c r="F2380" t="s">
        <v>2796</v>
      </c>
    </row>
    <row r="2381" spans="6:6" x14ac:dyDescent="0.25">
      <c r="F2381" t="s">
        <v>2797</v>
      </c>
    </row>
    <row r="2382" spans="6:6" x14ac:dyDescent="0.25">
      <c r="F2382" t="s">
        <v>2798</v>
      </c>
    </row>
    <row r="2383" spans="6:6" x14ac:dyDescent="0.25">
      <c r="F2383" t="s">
        <v>2799</v>
      </c>
    </row>
    <row r="2384" spans="6:6" x14ac:dyDescent="0.25">
      <c r="F2384" t="s">
        <v>2800</v>
      </c>
    </row>
    <row r="2385" spans="6:6" x14ac:dyDescent="0.25">
      <c r="F2385" t="s">
        <v>2801</v>
      </c>
    </row>
    <row r="2386" spans="6:6" x14ac:dyDescent="0.25">
      <c r="F2386" t="s">
        <v>2802</v>
      </c>
    </row>
    <row r="2387" spans="6:6" x14ac:dyDescent="0.25">
      <c r="F2387" t="s">
        <v>2803</v>
      </c>
    </row>
    <row r="2388" spans="6:6" x14ac:dyDescent="0.25">
      <c r="F2388" t="s">
        <v>2804</v>
      </c>
    </row>
    <row r="2389" spans="6:6" x14ac:dyDescent="0.25">
      <c r="F2389" t="s">
        <v>2805</v>
      </c>
    </row>
    <row r="2390" spans="6:6" x14ac:dyDescent="0.25">
      <c r="F2390" t="s">
        <v>2806</v>
      </c>
    </row>
    <row r="2391" spans="6:6" x14ac:dyDescent="0.25">
      <c r="F2391" t="s">
        <v>2807</v>
      </c>
    </row>
    <row r="2392" spans="6:6" x14ac:dyDescent="0.25">
      <c r="F2392" t="s">
        <v>2808</v>
      </c>
    </row>
    <row r="2393" spans="6:6" x14ac:dyDescent="0.25">
      <c r="F2393" t="s">
        <v>2809</v>
      </c>
    </row>
    <row r="2394" spans="6:6" x14ac:dyDescent="0.25">
      <c r="F2394" t="s">
        <v>2810</v>
      </c>
    </row>
    <row r="2395" spans="6:6" x14ac:dyDescent="0.25">
      <c r="F2395" t="s">
        <v>2811</v>
      </c>
    </row>
    <row r="2396" spans="6:6" x14ac:dyDescent="0.25">
      <c r="F2396" t="s">
        <v>2812</v>
      </c>
    </row>
    <row r="2397" spans="6:6" x14ac:dyDescent="0.25">
      <c r="F2397" t="s">
        <v>2813</v>
      </c>
    </row>
    <row r="2398" spans="6:6" x14ac:dyDescent="0.25">
      <c r="F2398" t="s">
        <v>2814</v>
      </c>
    </row>
    <row r="2399" spans="6:6" x14ac:dyDescent="0.25">
      <c r="F2399" t="s">
        <v>2815</v>
      </c>
    </row>
    <row r="2400" spans="6:6" x14ac:dyDescent="0.25">
      <c r="F2400" t="s">
        <v>2816</v>
      </c>
    </row>
    <row r="2401" spans="6:6" x14ac:dyDescent="0.25">
      <c r="F2401" t="s">
        <v>2817</v>
      </c>
    </row>
    <row r="2402" spans="6:6" x14ac:dyDescent="0.25">
      <c r="F2402" t="s">
        <v>2818</v>
      </c>
    </row>
    <row r="2403" spans="6:6" x14ac:dyDescent="0.25">
      <c r="F2403" t="s">
        <v>2819</v>
      </c>
    </row>
    <row r="2404" spans="6:6" x14ac:dyDescent="0.25">
      <c r="F2404" t="s">
        <v>2820</v>
      </c>
    </row>
    <row r="2405" spans="6:6" x14ac:dyDescent="0.25">
      <c r="F2405" t="s">
        <v>2821</v>
      </c>
    </row>
    <row r="2406" spans="6:6" x14ac:dyDescent="0.25">
      <c r="F2406" t="s">
        <v>2822</v>
      </c>
    </row>
    <row r="2407" spans="6:6" x14ac:dyDescent="0.25">
      <c r="F2407" t="s">
        <v>2823</v>
      </c>
    </row>
    <row r="2408" spans="6:6" x14ac:dyDescent="0.25">
      <c r="F2408" t="s">
        <v>2824</v>
      </c>
    </row>
    <row r="2409" spans="6:6" x14ac:dyDescent="0.25">
      <c r="F2409" t="s">
        <v>2825</v>
      </c>
    </row>
    <row r="2410" spans="6:6" x14ac:dyDescent="0.25">
      <c r="F2410" t="s">
        <v>2826</v>
      </c>
    </row>
    <row r="2411" spans="6:6" x14ac:dyDescent="0.25">
      <c r="F2411" t="s">
        <v>2827</v>
      </c>
    </row>
    <row r="2412" spans="6:6" x14ac:dyDescent="0.25">
      <c r="F2412" t="s">
        <v>2828</v>
      </c>
    </row>
    <row r="2413" spans="6:6" x14ac:dyDescent="0.25">
      <c r="F2413" t="s">
        <v>2829</v>
      </c>
    </row>
    <row r="2414" spans="6:6" x14ac:dyDescent="0.25">
      <c r="F2414" t="s">
        <v>2830</v>
      </c>
    </row>
    <row r="2415" spans="6:6" x14ac:dyDescent="0.25">
      <c r="F2415" t="s">
        <v>2831</v>
      </c>
    </row>
    <row r="2416" spans="6:6" x14ac:dyDescent="0.25">
      <c r="F2416" t="s">
        <v>2832</v>
      </c>
    </row>
    <row r="2417" spans="6:6" x14ac:dyDescent="0.25">
      <c r="F2417" t="s">
        <v>2833</v>
      </c>
    </row>
    <row r="2418" spans="6:6" x14ac:dyDescent="0.25">
      <c r="F2418" t="s">
        <v>2834</v>
      </c>
    </row>
    <row r="2419" spans="6:6" x14ac:dyDescent="0.25">
      <c r="F2419" t="s">
        <v>2835</v>
      </c>
    </row>
    <row r="2420" spans="6:6" x14ac:dyDescent="0.25">
      <c r="F2420" t="s">
        <v>2836</v>
      </c>
    </row>
    <row r="2421" spans="6:6" x14ac:dyDescent="0.25">
      <c r="F2421" t="s">
        <v>2837</v>
      </c>
    </row>
  </sheetData>
  <phoneticPr fontId="2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E8575-0CD1-46B8-BC45-4569E1BF8D15}">
  <dimension ref="A1:AE125"/>
  <sheetViews>
    <sheetView tabSelected="1" zoomScale="70" zoomScaleNormal="70" workbookViewId="0">
      <selection activeCell="R7" sqref="R7"/>
    </sheetView>
  </sheetViews>
  <sheetFormatPr defaultRowHeight="13.2" x14ac:dyDescent="0.25"/>
  <cols>
    <col min="2" max="2" width="9.77734375" style="12" bestFit="1" customWidth="1"/>
    <col min="3" max="3" width="8.88671875" style="4"/>
    <col min="4" max="4" width="22.33203125" bestFit="1" customWidth="1"/>
    <col min="5" max="5" width="9.6640625" bestFit="1" customWidth="1"/>
    <col min="6" max="6" width="13.5546875" customWidth="1"/>
    <col min="7" max="7" width="25.33203125" customWidth="1"/>
    <col min="8" max="8" width="11.88671875" customWidth="1"/>
    <col min="9" max="9" width="14.5546875" style="6" bestFit="1" customWidth="1"/>
    <col min="10" max="10" width="10.5546875" bestFit="1" customWidth="1"/>
    <col min="11" max="11" width="10.5546875" customWidth="1"/>
    <col min="12" max="12" width="10.5546875" bestFit="1" customWidth="1"/>
    <col min="13" max="13" width="14.6640625" bestFit="1" customWidth="1"/>
    <col min="14" max="14" width="16" style="9" bestFit="1" customWidth="1"/>
    <col min="15" max="15" width="15.6640625" style="9" bestFit="1" customWidth="1"/>
    <col min="16" max="16" width="13.5546875" bestFit="1" customWidth="1"/>
    <col min="17" max="17" width="10.109375" bestFit="1" customWidth="1"/>
    <col min="22" max="22" width="19.77734375" bestFit="1" customWidth="1"/>
    <col min="23" max="23" width="20.33203125" bestFit="1" customWidth="1"/>
    <col min="24" max="24" width="23.6640625" bestFit="1" customWidth="1"/>
    <col min="25" max="25" width="13.77734375" bestFit="1" customWidth="1"/>
    <col min="28" max="28" width="17.5546875" bestFit="1" customWidth="1"/>
  </cols>
  <sheetData>
    <row r="1" spans="1:31" x14ac:dyDescent="0.25">
      <c r="A1" s="1" t="s">
        <v>4160</v>
      </c>
      <c r="B1" s="11" t="s">
        <v>4107</v>
      </c>
      <c r="C1" s="3" t="s">
        <v>4105</v>
      </c>
      <c r="D1" s="1" t="s">
        <v>4108</v>
      </c>
      <c r="E1" t="s">
        <v>4115</v>
      </c>
      <c r="F1" s="1" t="s">
        <v>4244</v>
      </c>
      <c r="G1" s="1" t="s">
        <v>4212</v>
      </c>
      <c r="H1" s="1" t="s">
        <v>4251</v>
      </c>
      <c r="I1" s="5" t="s">
        <v>4110</v>
      </c>
      <c r="J1" s="1" t="s">
        <v>4113</v>
      </c>
      <c r="K1" s="1" t="s">
        <v>4253</v>
      </c>
      <c r="L1" s="2" t="s">
        <v>4111</v>
      </c>
      <c r="M1" s="1" t="s">
        <v>4252</v>
      </c>
      <c r="N1" s="8" t="s">
        <v>4254</v>
      </c>
      <c r="O1" s="8" t="s">
        <v>4114</v>
      </c>
      <c r="P1" s="1" t="s">
        <v>4112</v>
      </c>
      <c r="Q1" t="s">
        <v>4309</v>
      </c>
      <c r="V1" s="1" t="s">
        <v>4136</v>
      </c>
      <c r="W1" s="1" t="s">
        <v>4137</v>
      </c>
      <c r="X1" s="1" t="s">
        <v>4211</v>
      </c>
      <c r="Y1" s="1" t="s">
        <v>4234</v>
      </c>
      <c r="Z1" s="1" t="s">
        <v>4245</v>
      </c>
      <c r="AB1" s="1" t="s">
        <v>4160</v>
      </c>
      <c r="AC1" s="1" t="s">
        <v>4109</v>
      </c>
      <c r="AE1" s="1" t="s">
        <v>4213</v>
      </c>
    </row>
    <row r="2" spans="1:31" x14ac:dyDescent="0.25">
      <c r="A2" s="1" t="s">
        <v>4161</v>
      </c>
      <c r="B2" s="11">
        <f ca="1">r_date(2020,1,2020,6)</f>
        <v>43885</v>
      </c>
      <c r="C2" s="3" t="str">
        <f ca="1">"Prod-"&amp; TEXT(r_integer(1,40),"000")</f>
        <v>Prod-001</v>
      </c>
      <c r="D2" s="1" t="str">
        <f ca="1">IF(E2=$V$1,VLOOKUP(_xlfn.NUMBERVALUE(RIGHT(C2,1)),$U$2:$V$11,2,0),IF(E2=$V$13,VLOOKUP(_xlfn.NUMBERVALUE(RIGHT(C2,1)),$U$14:$V$23,2,0),IF(E2=$W$1,VLOOKUP(_xlfn.NUMBERVALUE(RIGHT(C2,1)),$U$2:$W$11,3,0),IF(E2=$W$13,VLOOKUP(_xlfn.NUMBERVALUE(RIGHT(C2,1)),$U$14:$W$23,3,0)))))</f>
        <v>Red Omen</v>
      </c>
      <c r="E2" t="str">
        <f ca="1">IF(AND(_xlfn.NUMBERVALUE(RIGHT(C2,2))&gt;0,_xlfn.NUMBERVALUE(RIGHT(C2,2))&lt;=10),$V$1,IF(AND(_xlfn.NUMBERVALUE(RIGHT(C2,2))&gt;10,_xlfn.NUMBERVALUE(RIGHT(C2,2))&lt;=20),$W$1,IF(AND(_xlfn.NUMBERVALUE(RIGHT(C2,2))&gt;20,_xlfn.NUMBERVALUE(RIGHT(C2,2))&lt;=30),$V$13,$W$13)))</f>
        <v>Action</v>
      </c>
      <c r="F2" t="str">
        <f ca="1">r_choice($Y$2:$Y$10)</f>
        <v>Surprisystems</v>
      </c>
      <c r="G2" t="str">
        <f ca="1">r_choice($X$2:$X$21)</f>
        <v>Dapper Bull Media</v>
      </c>
      <c r="H2" t="str">
        <f ca="1">r_choice($Z$2:$Z$6)</f>
        <v>PEGI-12</v>
      </c>
      <c r="I2" s="6">
        <f ca="1">r_integer(50,100)</f>
        <v>97</v>
      </c>
      <c r="J2" t="str">
        <f ca="1">r_integer(2,80)&amp;" Hours"</f>
        <v>58 Hours</v>
      </c>
      <c r="K2" t="str">
        <f ca="1">r_choice($Y$13:$Y$16)</f>
        <v>Standard</v>
      </c>
      <c r="L2" s="7">
        <f t="shared" ref="L2:L33" ca="1" si="0">IF(K2 =$Y$13, r_uniform(20,60,-1), IF(K2 =$Y$14, r_uniform(40,80,-1),IF(K2 =$Y$15, r_uniform(60,120,-1),IF(K2 =$Y$16, r_uniform(100,300,-1)))))</f>
        <v>40</v>
      </c>
      <c r="M2" s="10">
        <f ca="1">L2-L2*N2</f>
        <v>32</v>
      </c>
      <c r="N2" s="9">
        <f ca="1">IF(K2 =$Y$13,0.2, IF(K2 =$Y$14, 0.3,IF(K2 =$Y$15,0.35,IF(K2 =$Y$16,0.45))))</f>
        <v>0.2</v>
      </c>
      <c r="O2" s="9">
        <f ca="1">IF(P2&lt;=300,0.75,IF(AND(P2&gt;300,P2&lt;=600),0.4,IF(AND(P2&gt;600,P2&lt;=800),0.1,0)))</f>
        <v>0</v>
      </c>
      <c r="P2">
        <f ca="1">r_integer(10,1000)</f>
        <v>902</v>
      </c>
      <c r="Q2" t="str">
        <f t="shared" ref="Q2:Q33" ca="1" si="1">r_choice($Z$9:$Z$10)&amp;"-"&amp;r_choice($Z$13:$Z$15)&amp;"-"&amp;r_choice($Z$18:$Z$19)</f>
        <v>LOC-ME-Y</v>
      </c>
      <c r="U2">
        <v>1</v>
      </c>
      <c r="V2" t="s">
        <v>4116</v>
      </c>
      <c r="W2" t="s">
        <v>4126</v>
      </c>
      <c r="X2" t="s">
        <v>4214</v>
      </c>
      <c r="Y2" t="s">
        <v>4235</v>
      </c>
      <c r="Z2" s="1" t="s">
        <v>4246</v>
      </c>
      <c r="AB2" s="11" t="s">
        <v>4306</v>
      </c>
      <c r="AC2" t="s">
        <v>4106</v>
      </c>
    </row>
    <row r="3" spans="1:31" x14ac:dyDescent="0.25">
      <c r="A3" s="1" t="s">
        <v>4162</v>
      </c>
      <c r="B3" s="11">
        <f t="shared" ref="B3:B66" ca="1" si="2">r_date(2020,1,2020,6)</f>
        <v>43854</v>
      </c>
      <c r="C3" s="3" t="str">
        <f t="shared" ref="C3:C66" ca="1" si="3">"Prod-"&amp; TEXT(r_integer(1,40),"000")</f>
        <v>Prod-038</v>
      </c>
      <c r="D3" s="1" t="str">
        <f t="shared" ref="D3:D66" ca="1" si="4">IF(E3=$V$1,VLOOKUP(_xlfn.NUMBERVALUE(RIGHT(C3,1)),$U$2:$V$11,2,0),IF(E3=$V$13,VLOOKUP(_xlfn.NUMBERVALUE(RIGHT(C3,1)),$U$14:$V$23,2,0),IF(E3=$W$1,VLOOKUP(_xlfn.NUMBERVALUE(RIGHT(C3,1)),$U$2:$W$11,3,0),IF(E3=$W$13,VLOOKUP(_xlfn.NUMBERVALUE(RIGHT(C3,1)),$U$14:$W$23,3,0)))))</f>
        <v>Siegefront</v>
      </c>
      <c r="E3" t="str">
        <f t="shared" ref="E3:E51" ca="1" si="5">IF(AND(_xlfn.NUMBERVALUE(RIGHT(C3,2))&gt;0,_xlfn.NUMBERVALUE(RIGHT(C3,2))&lt;=10),$V$1,IF(AND(_xlfn.NUMBERVALUE(RIGHT(C3,2))&gt;10,_xlfn.NUMBERVALUE(RIGHT(C3,2))&lt;=20),$W$1,IF(AND(_xlfn.NUMBERVALUE(RIGHT(C3,2))&gt;20,_xlfn.NUMBERVALUE(RIGHT(C3,2))&lt;=30),$V$13,$W$13)))</f>
        <v>Strategy</v>
      </c>
      <c r="F3" t="str">
        <f t="shared" ref="F3:F66" ca="1" si="6">r_choice($Y$2:$Y$10)</f>
        <v>Moondustries</v>
      </c>
      <c r="G3" t="str">
        <f t="shared" ref="G3:G66" ca="1" si="7">r_choice($X$2:$X$21)</f>
        <v>Vagabond Interactive</v>
      </c>
      <c r="H3" t="str">
        <f t="shared" ref="H3:H66" ca="1" si="8">r_choice($Z$2:$Z$6)</f>
        <v>PEGI-18</v>
      </c>
      <c r="I3" s="6">
        <f t="shared" ref="I3:I66" ca="1" si="9">r_integer(50,100)</f>
        <v>64</v>
      </c>
      <c r="J3" t="str">
        <f t="shared" ref="J3:J66" ca="1" si="10">r_integer(2,80)&amp;" Hours"</f>
        <v>69 Hours</v>
      </c>
      <c r="K3" t="str">
        <f t="shared" ref="K3:K66" ca="1" si="11">r_choice($Y$13:$Y$16)</f>
        <v>Standard</v>
      </c>
      <c r="L3" s="7">
        <f t="shared" ca="1" si="0"/>
        <v>60</v>
      </c>
      <c r="M3" s="10">
        <f t="shared" ref="M3:M66" ca="1" si="12">L3-L3*N3</f>
        <v>48</v>
      </c>
      <c r="N3" s="9">
        <f t="shared" ref="N3:N51" ca="1" si="13">IF(K3 =$Y$13,0.2, IF(K3 =$Y$14, 0.3,IF(K3 =$Y$15,0.35,IF(K3 =$Y$16,0.45))))</f>
        <v>0.2</v>
      </c>
      <c r="O3" s="9">
        <f t="shared" ref="O3:O66" ca="1" si="14">IF(P3&lt;=300,0.75,IF(AND(P3&gt;300,P3&lt;=600),0.4,IF(AND(P3&gt;600,P3&lt;=800),0.1,0)))</f>
        <v>0.75</v>
      </c>
      <c r="P3">
        <f t="shared" ref="P3:P66" ca="1" si="15">r_integer(10,1000)</f>
        <v>294</v>
      </c>
      <c r="Q3" t="str">
        <f t="shared" ca="1" si="1"/>
        <v>GLO-HI-N</v>
      </c>
      <c r="U3">
        <v>2</v>
      </c>
      <c r="V3" t="s">
        <v>4117</v>
      </c>
      <c r="W3" t="s">
        <v>4127</v>
      </c>
      <c r="X3" t="s">
        <v>4215</v>
      </c>
      <c r="Y3" t="s">
        <v>4236</v>
      </c>
      <c r="Z3" s="1" t="s">
        <v>4247</v>
      </c>
      <c r="AB3" s="3" t="s">
        <v>4105</v>
      </c>
      <c r="AC3" t="s">
        <v>4109</v>
      </c>
    </row>
    <row r="4" spans="1:31" x14ac:dyDescent="0.25">
      <c r="A4" s="1" t="s">
        <v>4163</v>
      </c>
      <c r="B4" s="11">
        <f t="shared" ca="1" si="2"/>
        <v>43938</v>
      </c>
      <c r="C4" s="3" t="str">
        <f t="shared" ca="1" si="3"/>
        <v>Prod-023</v>
      </c>
      <c r="D4" s="1" t="str">
        <f t="shared" ca="1" si="4"/>
        <v>Magic of Mythology</v>
      </c>
      <c r="E4" t="str">
        <f t="shared" ca="1" si="5"/>
        <v>RPG</v>
      </c>
      <c r="F4" t="str">
        <f t="shared" ca="1" si="6"/>
        <v>Heartpoint</v>
      </c>
      <c r="G4" t="str">
        <f t="shared" ca="1" si="7"/>
        <v>Moonware Interactive</v>
      </c>
      <c r="H4" t="str">
        <f t="shared" ca="1" si="8"/>
        <v>PEGI-16</v>
      </c>
      <c r="I4" s="6">
        <f t="shared" ca="1" si="9"/>
        <v>60</v>
      </c>
      <c r="J4" t="str">
        <f t="shared" ca="1" si="10"/>
        <v>36 Hours</v>
      </c>
      <c r="K4" t="str">
        <f t="shared" ca="1" si="11"/>
        <v>Standard</v>
      </c>
      <c r="L4" s="7">
        <f t="shared" ca="1" si="0"/>
        <v>50</v>
      </c>
      <c r="M4" s="10">
        <f t="shared" ca="1" si="12"/>
        <v>40</v>
      </c>
      <c r="N4" s="9">
        <f t="shared" ca="1" si="13"/>
        <v>0.2</v>
      </c>
      <c r="O4" s="9">
        <f t="shared" ca="1" si="14"/>
        <v>0.75</v>
      </c>
      <c r="P4">
        <f t="shared" ca="1" si="15"/>
        <v>206</v>
      </c>
      <c r="Q4" t="str">
        <f t="shared" ca="1" si="1"/>
        <v>LOC-ME-Y</v>
      </c>
      <c r="U4">
        <v>3</v>
      </c>
      <c r="V4" t="s">
        <v>4118</v>
      </c>
      <c r="W4" t="s">
        <v>4128</v>
      </c>
      <c r="X4" t="s">
        <v>4216</v>
      </c>
      <c r="Y4" t="s">
        <v>4237</v>
      </c>
      <c r="Z4" s="1" t="s">
        <v>4248</v>
      </c>
      <c r="AB4" s="1" t="s">
        <v>4108</v>
      </c>
      <c r="AC4" s="1" t="s">
        <v>4109</v>
      </c>
    </row>
    <row r="5" spans="1:31" x14ac:dyDescent="0.25">
      <c r="A5" s="1" t="s">
        <v>4164</v>
      </c>
      <c r="B5" s="11">
        <f t="shared" ca="1" si="2"/>
        <v>43857</v>
      </c>
      <c r="C5" s="3" t="str">
        <f t="shared" ca="1" si="3"/>
        <v>Prod-023</v>
      </c>
      <c r="D5" s="1" t="str">
        <f t="shared" ca="1" si="4"/>
        <v>Magic of Mythology</v>
      </c>
      <c r="E5" t="str">
        <f t="shared" ca="1" si="5"/>
        <v>RPG</v>
      </c>
      <c r="F5" t="str">
        <f t="shared" ca="1" si="6"/>
        <v>Cliff Acoustics</v>
      </c>
      <c r="G5" t="str">
        <f t="shared" ca="1" si="7"/>
        <v>Subdomain Game Studios</v>
      </c>
      <c r="H5" t="str">
        <f t="shared" ca="1" si="8"/>
        <v>PEGI-18</v>
      </c>
      <c r="I5" s="6">
        <f t="shared" ca="1" si="9"/>
        <v>64</v>
      </c>
      <c r="J5" t="str">
        <f t="shared" ca="1" si="10"/>
        <v>74 Hours</v>
      </c>
      <c r="K5" t="str">
        <f t="shared" ca="1" si="11"/>
        <v>Deluxe</v>
      </c>
      <c r="L5" s="7">
        <f t="shared" ca="1" si="0"/>
        <v>50</v>
      </c>
      <c r="M5" s="10">
        <f t="shared" ca="1" si="12"/>
        <v>35</v>
      </c>
      <c r="N5" s="9">
        <f t="shared" ca="1" si="13"/>
        <v>0.3</v>
      </c>
      <c r="O5" s="9">
        <f t="shared" ca="1" si="14"/>
        <v>0</v>
      </c>
      <c r="P5">
        <f t="shared" ca="1" si="15"/>
        <v>856</v>
      </c>
      <c r="Q5" t="str">
        <f t="shared" ca="1" si="1"/>
        <v>LOC-HI-Y</v>
      </c>
      <c r="U5">
        <v>4</v>
      </c>
      <c r="V5" t="s">
        <v>4119</v>
      </c>
      <c r="W5" t="s">
        <v>4129</v>
      </c>
      <c r="X5" t="s">
        <v>4217</v>
      </c>
      <c r="Y5" t="s">
        <v>4238</v>
      </c>
      <c r="Z5" s="1" t="s">
        <v>4249</v>
      </c>
      <c r="AB5" t="s">
        <v>4115</v>
      </c>
      <c r="AC5" s="1" t="s">
        <v>4109</v>
      </c>
    </row>
    <row r="6" spans="1:31" x14ac:dyDescent="0.25">
      <c r="A6" s="1" t="s">
        <v>4165</v>
      </c>
      <c r="B6" s="11">
        <f t="shared" ca="1" si="2"/>
        <v>43948</v>
      </c>
      <c r="C6" s="3" t="str">
        <f t="shared" ca="1" si="3"/>
        <v>Prod-014</v>
      </c>
      <c r="D6" s="1" t="str">
        <f t="shared" ca="1" si="4"/>
        <v>Wizards of Sorrow</v>
      </c>
      <c r="E6" t="str">
        <f t="shared" ca="1" si="5"/>
        <v>Adventure</v>
      </c>
      <c r="F6" t="str">
        <f t="shared" ca="1" si="6"/>
        <v>Moondustries</v>
      </c>
      <c r="G6" t="str">
        <f t="shared" ca="1" si="7"/>
        <v>Light Crow Games</v>
      </c>
      <c r="H6" t="str">
        <f t="shared" ca="1" si="8"/>
        <v>PEGI-12</v>
      </c>
      <c r="I6" s="6">
        <f t="shared" ca="1" si="9"/>
        <v>70</v>
      </c>
      <c r="J6" t="str">
        <f t="shared" ca="1" si="10"/>
        <v>3 Hours</v>
      </c>
      <c r="K6" t="str">
        <f t="shared" ca="1" si="11"/>
        <v>Collector</v>
      </c>
      <c r="L6" s="7">
        <f t="shared" ca="1" si="0"/>
        <v>200</v>
      </c>
      <c r="M6" s="10">
        <f t="shared" ca="1" si="12"/>
        <v>110</v>
      </c>
      <c r="N6" s="9">
        <f t="shared" ca="1" si="13"/>
        <v>0.45</v>
      </c>
      <c r="O6" s="9">
        <f t="shared" ca="1" si="14"/>
        <v>0</v>
      </c>
      <c r="P6">
        <f t="shared" ca="1" si="15"/>
        <v>934</v>
      </c>
      <c r="Q6" t="str">
        <f t="shared" ca="1" si="1"/>
        <v>GLO-ME-Y</v>
      </c>
      <c r="U6">
        <v>5</v>
      </c>
      <c r="V6" t="s">
        <v>4120</v>
      </c>
      <c r="W6" t="s">
        <v>4130</v>
      </c>
      <c r="X6" t="s">
        <v>4218</v>
      </c>
      <c r="Y6" t="s">
        <v>4239</v>
      </c>
      <c r="Z6" s="1" t="s">
        <v>4250</v>
      </c>
      <c r="AB6" s="1" t="s">
        <v>4244</v>
      </c>
      <c r="AC6" s="1" t="s">
        <v>4109</v>
      </c>
    </row>
    <row r="7" spans="1:31" x14ac:dyDescent="0.25">
      <c r="A7" s="1" t="s">
        <v>4166</v>
      </c>
      <c r="B7" s="11">
        <f t="shared" ca="1" si="2"/>
        <v>43942</v>
      </c>
      <c r="C7" s="3" t="str">
        <f t="shared" ca="1" si="3"/>
        <v>Prod-031</v>
      </c>
      <c r="D7" s="1" t="str">
        <f t="shared" ca="1" si="4"/>
        <v>Android Dynasty</v>
      </c>
      <c r="E7" t="str">
        <f t="shared" ca="1" si="5"/>
        <v>Strategy</v>
      </c>
      <c r="F7" t="str">
        <f t="shared" ca="1" si="6"/>
        <v>Crypticorps</v>
      </c>
      <c r="G7" t="str">
        <f t="shared" ca="1" si="7"/>
        <v>Winterpunch Game Studios</v>
      </c>
      <c r="H7" t="str">
        <f t="shared" ca="1" si="8"/>
        <v>PEGI-3</v>
      </c>
      <c r="I7" s="6">
        <f t="shared" ca="1" si="9"/>
        <v>58</v>
      </c>
      <c r="J7" t="str">
        <f t="shared" ca="1" si="10"/>
        <v>23 Hours</v>
      </c>
      <c r="K7" t="str">
        <f t="shared" ca="1" si="11"/>
        <v>Deluxe</v>
      </c>
      <c r="L7" s="7">
        <f t="shared" ca="1" si="0"/>
        <v>50</v>
      </c>
      <c r="M7" s="10">
        <f t="shared" ca="1" si="12"/>
        <v>35</v>
      </c>
      <c r="N7" s="9">
        <f t="shared" ca="1" si="13"/>
        <v>0.3</v>
      </c>
      <c r="O7" s="9">
        <f t="shared" ca="1" si="14"/>
        <v>0.75</v>
      </c>
      <c r="P7">
        <f t="shared" ca="1" si="15"/>
        <v>169</v>
      </c>
      <c r="Q7" t="str">
        <f t="shared" ca="1" si="1"/>
        <v>GLO-LO-Y</v>
      </c>
      <c r="U7">
        <v>6</v>
      </c>
      <c r="V7" t="s">
        <v>4121</v>
      </c>
      <c r="W7" t="s">
        <v>4131</v>
      </c>
      <c r="X7" t="s">
        <v>4219</v>
      </c>
      <c r="Y7" t="s">
        <v>4240</v>
      </c>
      <c r="AB7" s="1" t="s">
        <v>4212</v>
      </c>
      <c r="AC7" s="1" t="s">
        <v>4109</v>
      </c>
    </row>
    <row r="8" spans="1:31" x14ac:dyDescent="0.25">
      <c r="A8" s="1" t="s">
        <v>4167</v>
      </c>
      <c r="B8" s="11">
        <f t="shared" ca="1" si="2"/>
        <v>43835</v>
      </c>
      <c r="C8" s="3" t="str">
        <f t="shared" ca="1" si="3"/>
        <v>Prod-004</v>
      </c>
      <c r="D8" s="1" t="str">
        <f t="shared" ca="1" si="4"/>
        <v>Vengeance of Trickery</v>
      </c>
      <c r="E8" t="str">
        <f t="shared" ca="1" si="5"/>
        <v>Action</v>
      </c>
      <c r="F8" t="str">
        <f t="shared" ca="1" si="6"/>
        <v>Diamond Media</v>
      </c>
      <c r="G8" t="str">
        <f t="shared" ca="1" si="7"/>
        <v>Thunderjam Interactive</v>
      </c>
      <c r="H8" t="str">
        <f t="shared" ca="1" si="8"/>
        <v>PEGI-7</v>
      </c>
      <c r="I8" s="6">
        <f t="shared" ca="1" si="9"/>
        <v>67</v>
      </c>
      <c r="J8" t="str">
        <f t="shared" ca="1" si="10"/>
        <v>78 Hours</v>
      </c>
      <c r="K8" t="str">
        <f t="shared" ca="1" si="11"/>
        <v>Gold</v>
      </c>
      <c r="L8" s="7">
        <f t="shared" ca="1" si="0"/>
        <v>70</v>
      </c>
      <c r="M8" s="10">
        <f t="shared" ca="1" si="12"/>
        <v>45.5</v>
      </c>
      <c r="N8" s="9">
        <f t="shared" ca="1" si="13"/>
        <v>0.35</v>
      </c>
      <c r="O8" s="9">
        <f t="shared" ca="1" si="14"/>
        <v>0.4</v>
      </c>
      <c r="P8">
        <f t="shared" ca="1" si="15"/>
        <v>422</v>
      </c>
      <c r="Q8" t="str">
        <f t="shared" ca="1" si="1"/>
        <v>GLO-ME-N</v>
      </c>
      <c r="U8">
        <v>7</v>
      </c>
      <c r="V8" t="s">
        <v>4122</v>
      </c>
      <c r="W8" t="s">
        <v>4132</v>
      </c>
      <c r="X8" t="s">
        <v>4220</v>
      </c>
      <c r="Y8" t="s">
        <v>4241</v>
      </c>
      <c r="Z8" t="s">
        <v>4310</v>
      </c>
      <c r="AB8" s="1" t="s">
        <v>4251</v>
      </c>
      <c r="AC8" s="1" t="s">
        <v>4109</v>
      </c>
    </row>
    <row r="9" spans="1:31" x14ac:dyDescent="0.25">
      <c r="A9" s="1" t="s">
        <v>4168</v>
      </c>
      <c r="B9" s="11">
        <f t="shared" ca="1" si="2"/>
        <v>43899</v>
      </c>
      <c r="C9" s="3" t="str">
        <f t="shared" ca="1" si="3"/>
        <v>Prod-038</v>
      </c>
      <c r="D9" s="1" t="str">
        <f t="shared" ca="1" si="4"/>
        <v>Siegefront</v>
      </c>
      <c r="E9" t="str">
        <f t="shared" ca="1" si="5"/>
        <v>Strategy</v>
      </c>
      <c r="F9" t="str">
        <f t="shared" ca="1" si="6"/>
        <v>Alphacom</v>
      </c>
      <c r="G9" t="str">
        <f t="shared" ca="1" si="7"/>
        <v>Pretty Mage Arts</v>
      </c>
      <c r="H9" t="str">
        <f t="shared" ca="1" si="8"/>
        <v>PEGI-16</v>
      </c>
      <c r="I9" s="6">
        <f t="shared" ca="1" si="9"/>
        <v>68</v>
      </c>
      <c r="J9" t="str">
        <f t="shared" ca="1" si="10"/>
        <v>35 Hours</v>
      </c>
      <c r="K9" t="str">
        <f t="shared" ca="1" si="11"/>
        <v>Deluxe</v>
      </c>
      <c r="L9" s="7">
        <f t="shared" ca="1" si="0"/>
        <v>40</v>
      </c>
      <c r="M9" s="10">
        <f t="shared" ca="1" si="12"/>
        <v>28</v>
      </c>
      <c r="N9" s="9">
        <f t="shared" ca="1" si="13"/>
        <v>0.3</v>
      </c>
      <c r="O9" s="9">
        <f t="shared" ca="1" si="14"/>
        <v>0.75</v>
      </c>
      <c r="P9">
        <f t="shared" ca="1" si="15"/>
        <v>247</v>
      </c>
      <c r="Q9" t="str">
        <f t="shared" ca="1" si="1"/>
        <v>GLO-ME-Y</v>
      </c>
      <c r="U9">
        <v>8</v>
      </c>
      <c r="V9" t="s">
        <v>4123</v>
      </c>
      <c r="W9" t="s">
        <v>4133</v>
      </c>
      <c r="X9" t="s">
        <v>4221</v>
      </c>
      <c r="Y9" t="s">
        <v>4242</v>
      </c>
      <c r="Z9" t="s">
        <v>4311</v>
      </c>
      <c r="AB9" s="5" t="s">
        <v>4110</v>
      </c>
      <c r="AC9" s="1" t="s">
        <v>4104</v>
      </c>
    </row>
    <row r="10" spans="1:31" x14ac:dyDescent="0.25">
      <c r="A10" s="1" t="s">
        <v>4169</v>
      </c>
      <c r="B10" s="11">
        <f t="shared" ca="1" si="2"/>
        <v>43856</v>
      </c>
      <c r="C10" s="3" t="str">
        <f t="shared" ca="1" si="3"/>
        <v>Prod-020</v>
      </c>
      <c r="D10" s="1" t="str">
        <f t="shared" ca="1" si="4"/>
        <v>Emberville</v>
      </c>
      <c r="E10" t="str">
        <f t="shared" ca="1" si="5"/>
        <v>Adventure</v>
      </c>
      <c r="F10" t="str">
        <f t="shared" ca="1" si="6"/>
        <v>Cliff Acoustics</v>
      </c>
      <c r="G10" t="str">
        <f t="shared" ca="1" si="7"/>
        <v>Light Crow Games</v>
      </c>
      <c r="H10" t="str">
        <f t="shared" ca="1" si="8"/>
        <v>PEGI-12</v>
      </c>
      <c r="I10" s="6">
        <f t="shared" ca="1" si="9"/>
        <v>70</v>
      </c>
      <c r="J10" t="str">
        <f t="shared" ca="1" si="10"/>
        <v>32 Hours</v>
      </c>
      <c r="K10" t="str">
        <f t="shared" ca="1" si="11"/>
        <v>Deluxe</v>
      </c>
      <c r="L10" s="7">
        <f t="shared" ca="1" si="0"/>
        <v>80</v>
      </c>
      <c r="M10" s="10">
        <f t="shared" ca="1" si="12"/>
        <v>56</v>
      </c>
      <c r="N10" s="9">
        <f t="shared" ca="1" si="13"/>
        <v>0.3</v>
      </c>
      <c r="O10" s="9">
        <f t="shared" ca="1" si="14"/>
        <v>0.4</v>
      </c>
      <c r="P10">
        <f t="shared" ca="1" si="15"/>
        <v>567</v>
      </c>
      <c r="Q10" t="str">
        <f t="shared" ca="1" si="1"/>
        <v>GLO-LO-Y</v>
      </c>
      <c r="U10">
        <v>9</v>
      </c>
      <c r="V10" t="s">
        <v>4124</v>
      </c>
      <c r="W10" t="s">
        <v>4134</v>
      </c>
      <c r="X10" t="s">
        <v>4222</v>
      </c>
      <c r="Y10" t="s">
        <v>4243</v>
      </c>
      <c r="Z10" t="s">
        <v>4312</v>
      </c>
      <c r="AB10" s="1" t="s">
        <v>4113</v>
      </c>
      <c r="AC10" s="1" t="s">
        <v>4109</v>
      </c>
    </row>
    <row r="11" spans="1:31" x14ac:dyDescent="0.25">
      <c r="A11" s="1" t="s">
        <v>4170</v>
      </c>
      <c r="B11" s="11">
        <f t="shared" ca="1" si="2"/>
        <v>43997</v>
      </c>
      <c r="C11" s="3" t="str">
        <f t="shared" ca="1" si="3"/>
        <v>Prod-023</v>
      </c>
      <c r="D11" s="1" t="str">
        <f t="shared" ca="1" si="4"/>
        <v>Magic of Mythology</v>
      </c>
      <c r="E11" t="str">
        <f t="shared" ca="1" si="5"/>
        <v>RPG</v>
      </c>
      <c r="F11" t="str">
        <f t="shared" ca="1" si="6"/>
        <v>Cliff Acoustics</v>
      </c>
      <c r="G11" t="str">
        <f t="shared" ca="1" si="7"/>
        <v>Filthy Door Interactive</v>
      </c>
      <c r="H11" t="str">
        <f t="shared" ca="1" si="8"/>
        <v>PEGI-18</v>
      </c>
      <c r="I11" s="6">
        <f t="shared" ca="1" si="9"/>
        <v>99</v>
      </c>
      <c r="J11" t="str">
        <f t="shared" ca="1" si="10"/>
        <v>17 Hours</v>
      </c>
      <c r="K11" t="str">
        <f t="shared" ca="1" si="11"/>
        <v>Collector</v>
      </c>
      <c r="L11" s="7">
        <f t="shared" ca="1" si="0"/>
        <v>100</v>
      </c>
      <c r="M11" s="10">
        <f t="shared" ca="1" si="12"/>
        <v>55</v>
      </c>
      <c r="N11" s="9">
        <f t="shared" ca="1" si="13"/>
        <v>0.45</v>
      </c>
      <c r="O11" s="9">
        <f t="shared" ca="1" si="14"/>
        <v>0.4</v>
      </c>
      <c r="P11">
        <f t="shared" ca="1" si="15"/>
        <v>524</v>
      </c>
      <c r="Q11" t="str">
        <f t="shared" ca="1" si="1"/>
        <v>GLO-HI-N</v>
      </c>
      <c r="U11">
        <v>0</v>
      </c>
      <c r="V11" t="s">
        <v>4125</v>
      </c>
      <c r="W11" t="s">
        <v>4135</v>
      </c>
      <c r="X11" t="s">
        <v>4223</v>
      </c>
      <c r="AB11" s="1" t="s">
        <v>4253</v>
      </c>
      <c r="AC11" s="1" t="s">
        <v>4109</v>
      </c>
    </row>
    <row r="12" spans="1:31" x14ac:dyDescent="0.25">
      <c r="A12" s="1" t="s">
        <v>4171</v>
      </c>
      <c r="B12" s="11">
        <f t="shared" ca="1" si="2"/>
        <v>43935</v>
      </c>
      <c r="C12" s="3" t="str">
        <f t="shared" ca="1" si="3"/>
        <v>Prod-005</v>
      </c>
      <c r="D12" s="1" t="str">
        <f t="shared" ca="1" si="4"/>
        <v>Ghosts and Command</v>
      </c>
      <c r="E12" t="str">
        <f t="shared" ca="1" si="5"/>
        <v>Action</v>
      </c>
      <c r="F12" t="str">
        <f t="shared" ca="1" si="6"/>
        <v>Surprisystems</v>
      </c>
      <c r="G12" t="str">
        <f t="shared" ca="1" si="7"/>
        <v>Subdomain Game Studios</v>
      </c>
      <c r="H12" t="str">
        <f t="shared" ca="1" si="8"/>
        <v>PEGI-7</v>
      </c>
      <c r="I12" s="6">
        <f t="shared" ca="1" si="9"/>
        <v>96</v>
      </c>
      <c r="J12" t="str">
        <f t="shared" ca="1" si="10"/>
        <v>9 Hours</v>
      </c>
      <c r="K12" t="str">
        <f t="shared" ca="1" si="11"/>
        <v>Standard</v>
      </c>
      <c r="L12" s="7">
        <f t="shared" ca="1" si="0"/>
        <v>40</v>
      </c>
      <c r="M12" s="10">
        <f t="shared" ca="1" si="12"/>
        <v>32</v>
      </c>
      <c r="N12" s="9">
        <f t="shared" ca="1" si="13"/>
        <v>0.2</v>
      </c>
      <c r="O12" s="9">
        <f t="shared" ca="1" si="14"/>
        <v>0.4</v>
      </c>
      <c r="P12">
        <f t="shared" ca="1" si="15"/>
        <v>369</v>
      </c>
      <c r="Q12" t="str">
        <f t="shared" ca="1" si="1"/>
        <v>LOC-ME-N</v>
      </c>
      <c r="X12" t="s">
        <v>4224</v>
      </c>
      <c r="Y12" s="1" t="s">
        <v>4255</v>
      </c>
      <c r="Z12" t="s">
        <v>4313</v>
      </c>
      <c r="AB12" s="2" t="s">
        <v>4111</v>
      </c>
      <c r="AC12" s="1" t="s">
        <v>4104</v>
      </c>
    </row>
    <row r="13" spans="1:31" x14ac:dyDescent="0.25">
      <c r="A13" s="1" t="s">
        <v>4172</v>
      </c>
      <c r="B13" s="11">
        <f t="shared" ca="1" si="2"/>
        <v>43902</v>
      </c>
      <c r="C13" s="3" t="str">
        <f t="shared" ca="1" si="3"/>
        <v>Prod-034</v>
      </c>
      <c r="D13" s="1" t="str">
        <f t="shared" ca="1" si="4"/>
        <v>Titans of Pain</v>
      </c>
      <c r="E13" t="str">
        <f t="shared" ca="1" si="5"/>
        <v>Strategy</v>
      </c>
      <c r="F13" t="str">
        <f t="shared" ca="1" si="6"/>
        <v>Surprisystems</v>
      </c>
      <c r="G13" t="str">
        <f t="shared" ca="1" si="7"/>
        <v>Honest Door Entertainment</v>
      </c>
      <c r="H13" t="str">
        <f t="shared" ca="1" si="8"/>
        <v>PEGI-3</v>
      </c>
      <c r="I13" s="6">
        <f t="shared" ca="1" si="9"/>
        <v>58</v>
      </c>
      <c r="J13" t="str">
        <f t="shared" ca="1" si="10"/>
        <v>17 Hours</v>
      </c>
      <c r="K13" t="str">
        <f t="shared" ca="1" si="11"/>
        <v>Gold</v>
      </c>
      <c r="L13" s="7">
        <f t="shared" ca="1" si="0"/>
        <v>120</v>
      </c>
      <c r="M13" s="10">
        <f t="shared" ca="1" si="12"/>
        <v>78</v>
      </c>
      <c r="N13" s="9">
        <f t="shared" ca="1" si="13"/>
        <v>0.35</v>
      </c>
      <c r="O13" s="9">
        <f t="shared" ca="1" si="14"/>
        <v>0.4</v>
      </c>
      <c r="P13">
        <f t="shared" ca="1" si="15"/>
        <v>367</v>
      </c>
      <c r="Q13" t="str">
        <f t="shared" ca="1" si="1"/>
        <v>GLO-LO-Y</v>
      </c>
      <c r="V13" s="1" t="s">
        <v>4138</v>
      </c>
      <c r="W13" s="1" t="s">
        <v>4149</v>
      </c>
      <c r="X13" t="s">
        <v>4225</v>
      </c>
      <c r="Y13" s="1" t="s">
        <v>4307</v>
      </c>
      <c r="Z13" s="1" t="s">
        <v>4314</v>
      </c>
      <c r="AB13" s="1" t="s">
        <v>4252</v>
      </c>
      <c r="AC13" s="1" t="s">
        <v>4104</v>
      </c>
    </row>
    <row r="14" spans="1:31" x14ac:dyDescent="0.25">
      <c r="A14" s="1" t="s">
        <v>4173</v>
      </c>
      <c r="B14" s="11">
        <f t="shared" ca="1" si="2"/>
        <v>43930</v>
      </c>
      <c r="C14" s="3" t="str">
        <f t="shared" ca="1" si="3"/>
        <v>Prod-019</v>
      </c>
      <c r="D14" s="1" t="str">
        <f t="shared" ca="1" si="4"/>
        <v>Chronorite</v>
      </c>
      <c r="E14" t="str">
        <f t="shared" ca="1" si="5"/>
        <v>Adventure</v>
      </c>
      <c r="F14" t="str">
        <f t="shared" ca="1" si="6"/>
        <v>Crypticorps</v>
      </c>
      <c r="G14" t="str">
        <f t="shared" ca="1" si="7"/>
        <v>Starsoft Productions</v>
      </c>
      <c r="H14" t="str">
        <f t="shared" ca="1" si="8"/>
        <v>PEGI-3</v>
      </c>
      <c r="I14" s="6">
        <f t="shared" ca="1" si="9"/>
        <v>96</v>
      </c>
      <c r="J14" t="str">
        <f t="shared" ca="1" si="10"/>
        <v>39 Hours</v>
      </c>
      <c r="K14" t="str">
        <f t="shared" ca="1" si="11"/>
        <v>Gold</v>
      </c>
      <c r="L14" s="7">
        <f t="shared" ca="1" si="0"/>
        <v>70</v>
      </c>
      <c r="M14" s="10">
        <f t="shared" ca="1" si="12"/>
        <v>45.5</v>
      </c>
      <c r="N14" s="9">
        <f t="shared" ca="1" si="13"/>
        <v>0.35</v>
      </c>
      <c r="O14" s="9">
        <f t="shared" ca="1" si="14"/>
        <v>0.4</v>
      </c>
      <c r="P14">
        <f t="shared" ca="1" si="15"/>
        <v>552</v>
      </c>
      <c r="Q14" t="str">
        <f t="shared" ca="1" si="1"/>
        <v>GLO-LO-Y</v>
      </c>
      <c r="U14">
        <v>1</v>
      </c>
      <c r="V14" t="s">
        <v>4139</v>
      </c>
      <c r="W14" t="s">
        <v>4150</v>
      </c>
      <c r="X14" t="s">
        <v>4226</v>
      </c>
      <c r="Y14" s="1" t="s">
        <v>4320</v>
      </c>
      <c r="Z14" s="1" t="s">
        <v>4315</v>
      </c>
      <c r="AB14" s="8" t="s">
        <v>4254</v>
      </c>
      <c r="AC14" s="1" t="s">
        <v>4104</v>
      </c>
    </row>
    <row r="15" spans="1:31" x14ac:dyDescent="0.25">
      <c r="A15" s="1" t="s">
        <v>4174</v>
      </c>
      <c r="B15" s="11">
        <f t="shared" ca="1" si="2"/>
        <v>43891</v>
      </c>
      <c r="C15" s="3" t="str">
        <f t="shared" ca="1" si="3"/>
        <v>Prod-038</v>
      </c>
      <c r="D15" s="1" t="str">
        <f t="shared" ca="1" si="4"/>
        <v>Siegefront</v>
      </c>
      <c r="E15" t="str">
        <f t="shared" ca="1" si="5"/>
        <v>Strategy</v>
      </c>
      <c r="F15" t="str">
        <f t="shared" ca="1" si="6"/>
        <v>Alphacom</v>
      </c>
      <c r="G15" t="str">
        <f t="shared" ca="1" si="7"/>
        <v>Fierce Studios</v>
      </c>
      <c r="H15" t="str">
        <f t="shared" ca="1" si="8"/>
        <v>PEGI-18</v>
      </c>
      <c r="I15" s="6">
        <f t="shared" ca="1" si="9"/>
        <v>98</v>
      </c>
      <c r="J15" t="str">
        <f t="shared" ca="1" si="10"/>
        <v>36 Hours</v>
      </c>
      <c r="K15" t="str">
        <f t="shared" ca="1" si="11"/>
        <v>Standard</v>
      </c>
      <c r="L15" s="7">
        <f t="shared" ca="1" si="0"/>
        <v>20</v>
      </c>
      <c r="M15" s="10">
        <f t="shared" ca="1" si="12"/>
        <v>16</v>
      </c>
      <c r="N15" s="9">
        <f t="shared" ca="1" si="13"/>
        <v>0.2</v>
      </c>
      <c r="O15" s="9">
        <f t="shared" ca="1" si="14"/>
        <v>0.4</v>
      </c>
      <c r="P15">
        <f t="shared" ca="1" si="15"/>
        <v>448</v>
      </c>
      <c r="Q15" t="str">
        <f t="shared" ca="1" si="1"/>
        <v>LOC-HI-N</v>
      </c>
      <c r="U15">
        <v>2</v>
      </c>
      <c r="V15" t="s">
        <v>4140</v>
      </c>
      <c r="W15" t="s">
        <v>4151</v>
      </c>
      <c r="X15" t="s">
        <v>4227</v>
      </c>
      <c r="Y15" s="1" t="s">
        <v>291</v>
      </c>
      <c r="Z15" s="1" t="s">
        <v>4316</v>
      </c>
      <c r="AB15" s="8" t="s">
        <v>4114</v>
      </c>
      <c r="AC15" s="1" t="s">
        <v>4104</v>
      </c>
    </row>
    <row r="16" spans="1:31" x14ac:dyDescent="0.25">
      <c r="A16" s="1" t="s">
        <v>4175</v>
      </c>
      <c r="B16" s="11">
        <f t="shared" ca="1" si="2"/>
        <v>43919</v>
      </c>
      <c r="C16" s="3" t="str">
        <f t="shared" ca="1" si="3"/>
        <v>Prod-006</v>
      </c>
      <c r="D16" s="1" t="str">
        <f t="shared" ca="1" si="4"/>
        <v>Duty and Control</v>
      </c>
      <c r="E16" t="str">
        <f t="shared" ca="1" si="5"/>
        <v>Action</v>
      </c>
      <c r="F16" t="str">
        <f t="shared" ca="1" si="6"/>
        <v>Surprisystems</v>
      </c>
      <c r="G16" t="str">
        <f t="shared" ca="1" si="7"/>
        <v>Fierce Studios</v>
      </c>
      <c r="H16" t="str">
        <f t="shared" ca="1" si="8"/>
        <v>PEGI-3</v>
      </c>
      <c r="I16" s="6">
        <f t="shared" ca="1" si="9"/>
        <v>63</v>
      </c>
      <c r="J16" t="str">
        <f t="shared" ca="1" si="10"/>
        <v>19 Hours</v>
      </c>
      <c r="K16" t="str">
        <f t="shared" ca="1" si="11"/>
        <v>Gold</v>
      </c>
      <c r="L16" s="7">
        <f t="shared" ca="1" si="0"/>
        <v>100</v>
      </c>
      <c r="M16" s="10">
        <f t="shared" ca="1" si="12"/>
        <v>65</v>
      </c>
      <c r="N16" s="9">
        <f t="shared" ca="1" si="13"/>
        <v>0.35</v>
      </c>
      <c r="O16" s="9">
        <f t="shared" ca="1" si="14"/>
        <v>0.75</v>
      </c>
      <c r="P16">
        <f t="shared" ca="1" si="15"/>
        <v>96</v>
      </c>
      <c r="Q16" t="str">
        <f t="shared" ca="1" si="1"/>
        <v>GLO-ME-Y</v>
      </c>
      <c r="U16">
        <v>3</v>
      </c>
      <c r="V16" t="s">
        <v>4141</v>
      </c>
      <c r="W16" t="s">
        <v>4152</v>
      </c>
      <c r="X16" t="s">
        <v>4228</v>
      </c>
      <c r="Y16" s="1" t="s">
        <v>4308</v>
      </c>
      <c r="AB16" s="1" t="s">
        <v>4112</v>
      </c>
      <c r="AC16" s="1" t="s">
        <v>4104</v>
      </c>
    </row>
    <row r="17" spans="1:29" x14ac:dyDescent="0.25">
      <c r="A17" s="1" t="s">
        <v>4176</v>
      </c>
      <c r="B17" s="11">
        <f t="shared" ca="1" si="2"/>
        <v>43872</v>
      </c>
      <c r="C17" s="3" t="str">
        <f t="shared" ca="1" si="3"/>
        <v>Prod-017</v>
      </c>
      <c r="D17" s="1" t="str">
        <f t="shared" ca="1" si="4"/>
        <v>Madscape</v>
      </c>
      <c r="E17" t="str">
        <f t="shared" ca="1" si="5"/>
        <v>Adventure</v>
      </c>
      <c r="F17" t="str">
        <f t="shared" ca="1" si="6"/>
        <v>Moondustries</v>
      </c>
      <c r="G17" t="str">
        <f t="shared" ca="1" si="7"/>
        <v>Light Crow Games</v>
      </c>
      <c r="H17" t="str">
        <f t="shared" ca="1" si="8"/>
        <v>PEGI-16</v>
      </c>
      <c r="I17" s="6">
        <f t="shared" ca="1" si="9"/>
        <v>92</v>
      </c>
      <c r="J17" t="str">
        <f t="shared" ca="1" si="10"/>
        <v>41 Hours</v>
      </c>
      <c r="K17" t="str">
        <f t="shared" ca="1" si="11"/>
        <v>Deluxe</v>
      </c>
      <c r="L17" s="7">
        <f t="shared" ca="1" si="0"/>
        <v>50</v>
      </c>
      <c r="M17" s="10">
        <f t="shared" ca="1" si="12"/>
        <v>35</v>
      </c>
      <c r="N17" s="9">
        <f t="shared" ca="1" si="13"/>
        <v>0.3</v>
      </c>
      <c r="O17" s="9">
        <f t="shared" ca="1" si="14"/>
        <v>0.4</v>
      </c>
      <c r="P17">
        <f t="shared" ca="1" si="15"/>
        <v>389</v>
      </c>
      <c r="Q17" t="str">
        <f t="shared" ca="1" si="1"/>
        <v>GLO-ME-N</v>
      </c>
      <c r="U17">
        <v>4</v>
      </c>
      <c r="V17" t="s">
        <v>4142</v>
      </c>
      <c r="W17" t="s">
        <v>4153</v>
      </c>
      <c r="X17" t="s">
        <v>4229</v>
      </c>
      <c r="Z17" t="s">
        <v>4317</v>
      </c>
      <c r="AB17" t="s">
        <v>4309</v>
      </c>
      <c r="AC17" s="1" t="s">
        <v>4109</v>
      </c>
    </row>
    <row r="18" spans="1:29" x14ac:dyDescent="0.25">
      <c r="A18" s="1" t="s">
        <v>4177</v>
      </c>
      <c r="B18" s="11">
        <f t="shared" ca="1" si="2"/>
        <v>43897</v>
      </c>
      <c r="C18" s="3" t="str">
        <f t="shared" ca="1" si="3"/>
        <v>Prod-004</v>
      </c>
      <c r="D18" s="1" t="str">
        <f t="shared" ca="1" si="4"/>
        <v>Vengeance of Trickery</v>
      </c>
      <c r="E18" t="str">
        <f t="shared" ca="1" si="5"/>
        <v>Action</v>
      </c>
      <c r="F18" t="str">
        <f t="shared" ca="1" si="6"/>
        <v>Fairyhive</v>
      </c>
      <c r="G18" t="str">
        <f t="shared" ca="1" si="7"/>
        <v>Fierce Studios</v>
      </c>
      <c r="H18" t="str">
        <f t="shared" ca="1" si="8"/>
        <v>PEGI-12</v>
      </c>
      <c r="I18" s="6">
        <f t="shared" ca="1" si="9"/>
        <v>76</v>
      </c>
      <c r="J18" t="str">
        <f t="shared" ca="1" si="10"/>
        <v>23 Hours</v>
      </c>
      <c r="K18" t="str">
        <f t="shared" ca="1" si="11"/>
        <v>Collector</v>
      </c>
      <c r="L18" s="7">
        <f t="shared" ca="1" si="0"/>
        <v>250</v>
      </c>
      <c r="M18" s="10">
        <f t="shared" ca="1" si="12"/>
        <v>137.5</v>
      </c>
      <c r="N18" s="9">
        <f t="shared" ca="1" si="13"/>
        <v>0.45</v>
      </c>
      <c r="O18" s="9">
        <f t="shared" ca="1" si="14"/>
        <v>0</v>
      </c>
      <c r="P18">
        <f t="shared" ca="1" si="15"/>
        <v>872</v>
      </c>
      <c r="Q18" t="str">
        <f t="shared" ca="1" si="1"/>
        <v>GLO-HI-Y</v>
      </c>
      <c r="U18">
        <v>5</v>
      </c>
      <c r="V18" t="s">
        <v>4143</v>
      </c>
      <c r="W18" t="s">
        <v>4154</v>
      </c>
      <c r="X18" t="s">
        <v>4230</v>
      </c>
      <c r="Z18" t="s">
        <v>4318</v>
      </c>
    </row>
    <row r="19" spans="1:29" x14ac:dyDescent="0.25">
      <c r="A19" s="1" t="s">
        <v>4178</v>
      </c>
      <c r="B19" s="11">
        <f t="shared" ca="1" si="2"/>
        <v>43853</v>
      </c>
      <c r="C19" s="3" t="str">
        <f t="shared" ca="1" si="3"/>
        <v>Prod-010</v>
      </c>
      <c r="D19" s="1" t="str">
        <f t="shared" ca="1" si="4"/>
        <v>Antilust</v>
      </c>
      <c r="E19" t="str">
        <f t="shared" ca="1" si="5"/>
        <v>Action</v>
      </c>
      <c r="F19" t="str">
        <f t="shared" ca="1" si="6"/>
        <v>Surprisystems</v>
      </c>
      <c r="G19" t="str">
        <f t="shared" ca="1" si="7"/>
        <v>Scary Lizard Productions</v>
      </c>
      <c r="H19" t="str">
        <f t="shared" ca="1" si="8"/>
        <v>PEGI-3</v>
      </c>
      <c r="I19" s="6">
        <f t="shared" ca="1" si="9"/>
        <v>85</v>
      </c>
      <c r="J19" t="str">
        <f t="shared" ca="1" si="10"/>
        <v>19 Hours</v>
      </c>
      <c r="K19" t="str">
        <f t="shared" ca="1" si="11"/>
        <v>Collector</v>
      </c>
      <c r="L19" s="7">
        <f t="shared" ca="1" si="0"/>
        <v>160</v>
      </c>
      <c r="M19" s="10">
        <f t="shared" ca="1" si="12"/>
        <v>88</v>
      </c>
      <c r="N19" s="9">
        <f t="shared" ca="1" si="13"/>
        <v>0.45</v>
      </c>
      <c r="O19" s="9">
        <f t="shared" ca="1" si="14"/>
        <v>0.75</v>
      </c>
      <c r="P19">
        <f t="shared" ca="1" si="15"/>
        <v>110</v>
      </c>
      <c r="Q19" t="str">
        <f t="shared" ca="1" si="1"/>
        <v>LOC-ME-N</v>
      </c>
      <c r="U19">
        <v>6</v>
      </c>
      <c r="V19" t="s">
        <v>4144</v>
      </c>
      <c r="W19" t="s">
        <v>4155</v>
      </c>
      <c r="X19" t="s">
        <v>4231</v>
      </c>
      <c r="Z19" t="s">
        <v>4319</v>
      </c>
    </row>
    <row r="20" spans="1:29" x14ac:dyDescent="0.25">
      <c r="A20" s="1" t="s">
        <v>4179</v>
      </c>
      <c r="B20" s="11">
        <f t="shared" ca="1" si="2"/>
        <v>44007</v>
      </c>
      <c r="C20" s="3" t="str">
        <f t="shared" ca="1" si="3"/>
        <v>Prod-039</v>
      </c>
      <c r="D20" s="1" t="str">
        <f t="shared" ca="1" si="4"/>
        <v>Ashcommand</v>
      </c>
      <c r="E20" t="str">
        <f t="shared" ca="1" si="5"/>
        <v>Strategy</v>
      </c>
      <c r="F20" t="str">
        <f t="shared" ca="1" si="6"/>
        <v>Lionshine</v>
      </c>
      <c r="G20" t="str">
        <f t="shared" ca="1" si="7"/>
        <v>Dapper Bull Media</v>
      </c>
      <c r="H20" t="str">
        <f t="shared" ca="1" si="8"/>
        <v>PEGI-12</v>
      </c>
      <c r="I20" s="6">
        <f t="shared" ca="1" si="9"/>
        <v>80</v>
      </c>
      <c r="J20" t="str">
        <f t="shared" ca="1" si="10"/>
        <v>8 Hours</v>
      </c>
      <c r="K20" t="str">
        <f t="shared" ca="1" si="11"/>
        <v>Gold</v>
      </c>
      <c r="L20" s="7">
        <f t="shared" ca="1" si="0"/>
        <v>100</v>
      </c>
      <c r="M20" s="10">
        <f t="shared" ca="1" si="12"/>
        <v>65</v>
      </c>
      <c r="N20" s="9">
        <f t="shared" ca="1" si="13"/>
        <v>0.35</v>
      </c>
      <c r="O20" s="9">
        <f t="shared" ca="1" si="14"/>
        <v>0.75</v>
      </c>
      <c r="P20">
        <f t="shared" ca="1" si="15"/>
        <v>123</v>
      </c>
      <c r="Q20" t="str">
        <f t="shared" ca="1" si="1"/>
        <v>GLO-LO-N</v>
      </c>
      <c r="U20">
        <v>7</v>
      </c>
      <c r="V20" t="s">
        <v>4145</v>
      </c>
      <c r="W20" t="s">
        <v>4156</v>
      </c>
      <c r="X20" t="s">
        <v>4232</v>
      </c>
    </row>
    <row r="21" spans="1:29" x14ac:dyDescent="0.25">
      <c r="A21" s="1" t="s">
        <v>4180</v>
      </c>
      <c r="B21" s="11">
        <f t="shared" ca="1" si="2"/>
        <v>43875</v>
      </c>
      <c r="C21" s="3" t="str">
        <f t="shared" ca="1" si="3"/>
        <v>Prod-028</v>
      </c>
      <c r="D21" s="1" t="str">
        <f t="shared" ca="1" si="4"/>
        <v>Warhunt</v>
      </c>
      <c r="E21" t="str">
        <f t="shared" ca="1" si="5"/>
        <v>RPG</v>
      </c>
      <c r="F21" t="str">
        <f t="shared" ca="1" si="6"/>
        <v>Fairyhive</v>
      </c>
      <c r="G21" t="str">
        <f t="shared" ca="1" si="7"/>
        <v>Golden Boa Interactive</v>
      </c>
      <c r="H21" t="str">
        <f t="shared" ca="1" si="8"/>
        <v>PEGI-16</v>
      </c>
      <c r="I21" s="6">
        <f t="shared" ca="1" si="9"/>
        <v>58</v>
      </c>
      <c r="J21" t="str">
        <f t="shared" ca="1" si="10"/>
        <v>45 Hours</v>
      </c>
      <c r="K21" t="str">
        <f t="shared" ca="1" si="11"/>
        <v>Standard</v>
      </c>
      <c r="L21" s="7">
        <f t="shared" ca="1" si="0"/>
        <v>20</v>
      </c>
      <c r="M21" s="10">
        <f t="shared" ca="1" si="12"/>
        <v>16</v>
      </c>
      <c r="N21" s="9">
        <f t="shared" ca="1" si="13"/>
        <v>0.2</v>
      </c>
      <c r="O21" s="9">
        <f t="shared" ca="1" si="14"/>
        <v>0</v>
      </c>
      <c r="P21">
        <f t="shared" ca="1" si="15"/>
        <v>846</v>
      </c>
      <c r="Q21" t="str">
        <f t="shared" ca="1" si="1"/>
        <v>LOC-HI-Y</v>
      </c>
      <c r="U21">
        <v>8</v>
      </c>
      <c r="V21" t="s">
        <v>4146</v>
      </c>
      <c r="W21" t="s">
        <v>4157</v>
      </c>
      <c r="X21" t="s">
        <v>4233</v>
      </c>
    </row>
    <row r="22" spans="1:29" x14ac:dyDescent="0.25">
      <c r="A22" s="1" t="s">
        <v>4181</v>
      </c>
      <c r="B22" s="11">
        <f t="shared" ca="1" si="2"/>
        <v>43851</v>
      </c>
      <c r="C22" s="3" t="str">
        <f t="shared" ca="1" si="3"/>
        <v>Prod-033</v>
      </c>
      <c r="D22" s="1" t="str">
        <f t="shared" ca="1" si="4"/>
        <v>Warlords of Turmoil</v>
      </c>
      <c r="E22" t="str">
        <f t="shared" ca="1" si="5"/>
        <v>Strategy</v>
      </c>
      <c r="F22" t="str">
        <f t="shared" ca="1" si="6"/>
        <v>Lionshine</v>
      </c>
      <c r="G22" t="str">
        <f t="shared" ca="1" si="7"/>
        <v>Pretty Mage Arts</v>
      </c>
      <c r="H22" t="str">
        <f t="shared" ca="1" si="8"/>
        <v>PEGI-7</v>
      </c>
      <c r="I22" s="6">
        <f t="shared" ca="1" si="9"/>
        <v>60</v>
      </c>
      <c r="J22" t="str">
        <f t="shared" ca="1" si="10"/>
        <v>41 Hours</v>
      </c>
      <c r="K22" t="str">
        <f t="shared" ca="1" si="11"/>
        <v>Standard</v>
      </c>
      <c r="L22" s="7">
        <f t="shared" ca="1" si="0"/>
        <v>40</v>
      </c>
      <c r="M22" s="10">
        <f t="shared" ca="1" si="12"/>
        <v>32</v>
      </c>
      <c r="N22" s="9">
        <f t="shared" ca="1" si="13"/>
        <v>0.2</v>
      </c>
      <c r="O22" s="9">
        <f t="shared" ca="1" si="14"/>
        <v>0.4</v>
      </c>
      <c r="P22">
        <f t="shared" ca="1" si="15"/>
        <v>564</v>
      </c>
      <c r="Q22" t="str">
        <f t="shared" ca="1" si="1"/>
        <v>LOC-ME-N</v>
      </c>
      <c r="U22">
        <v>9</v>
      </c>
      <c r="V22" t="s">
        <v>4147</v>
      </c>
      <c r="W22" t="s">
        <v>4158</v>
      </c>
    </row>
    <row r="23" spans="1:29" x14ac:dyDescent="0.25">
      <c r="A23" s="1" t="s">
        <v>4182</v>
      </c>
      <c r="B23" s="11">
        <f t="shared" ca="1" si="2"/>
        <v>43964</v>
      </c>
      <c r="C23" s="3" t="str">
        <f t="shared" ca="1" si="3"/>
        <v>Prod-025</v>
      </c>
      <c r="D23" s="1" t="str">
        <f t="shared" ca="1" si="4"/>
        <v>Enemy and Demons</v>
      </c>
      <c r="E23" t="str">
        <f t="shared" ca="1" si="5"/>
        <v>RPG</v>
      </c>
      <c r="F23" t="str">
        <f t="shared" ca="1" si="6"/>
        <v>Fairyhive</v>
      </c>
      <c r="G23" t="str">
        <f t="shared" ca="1" si="7"/>
        <v>Light Crow Games</v>
      </c>
      <c r="H23" t="str">
        <f t="shared" ca="1" si="8"/>
        <v>PEGI-3</v>
      </c>
      <c r="I23" s="6">
        <f t="shared" ca="1" si="9"/>
        <v>98</v>
      </c>
      <c r="J23" t="str">
        <f t="shared" ca="1" si="10"/>
        <v>30 Hours</v>
      </c>
      <c r="K23" t="str">
        <f t="shared" ca="1" si="11"/>
        <v>Collector</v>
      </c>
      <c r="L23" s="7">
        <f t="shared" ca="1" si="0"/>
        <v>300</v>
      </c>
      <c r="M23" s="10">
        <f t="shared" ca="1" si="12"/>
        <v>165</v>
      </c>
      <c r="N23" s="9">
        <f t="shared" ca="1" si="13"/>
        <v>0.45</v>
      </c>
      <c r="O23" s="9">
        <f t="shared" ca="1" si="14"/>
        <v>0</v>
      </c>
      <c r="P23">
        <f t="shared" ca="1" si="15"/>
        <v>992</v>
      </c>
      <c r="Q23" t="str">
        <f t="shared" ca="1" si="1"/>
        <v>GLO-LO-N</v>
      </c>
      <c r="U23">
        <v>0</v>
      </c>
      <c r="V23" t="s">
        <v>4148</v>
      </c>
      <c r="W23" t="s">
        <v>4159</v>
      </c>
    </row>
    <row r="24" spans="1:29" x14ac:dyDescent="0.25">
      <c r="A24" s="1" t="s">
        <v>4183</v>
      </c>
      <c r="B24" s="11">
        <f t="shared" ca="1" si="2"/>
        <v>43850</v>
      </c>
      <c r="C24" s="3" t="str">
        <f t="shared" ca="1" si="3"/>
        <v>Prod-032</v>
      </c>
      <c r="D24" s="1" t="str">
        <f t="shared" ca="1" si="4"/>
        <v>Blood Cataclysm</v>
      </c>
      <c r="E24" t="str">
        <f t="shared" ca="1" si="5"/>
        <v>Strategy</v>
      </c>
      <c r="F24" t="str">
        <f t="shared" ca="1" si="6"/>
        <v>Surprisystems</v>
      </c>
      <c r="G24" t="str">
        <f t="shared" ca="1" si="7"/>
        <v>Scary Lizard Productions</v>
      </c>
      <c r="H24" t="str">
        <f t="shared" ca="1" si="8"/>
        <v>PEGI-3</v>
      </c>
      <c r="I24" s="6">
        <f t="shared" ca="1" si="9"/>
        <v>83</v>
      </c>
      <c r="J24" t="str">
        <f t="shared" ca="1" si="10"/>
        <v>10 Hours</v>
      </c>
      <c r="K24" t="str">
        <f t="shared" ca="1" si="11"/>
        <v>Deluxe</v>
      </c>
      <c r="L24" s="7">
        <f t="shared" ca="1" si="0"/>
        <v>50</v>
      </c>
      <c r="M24" s="10">
        <f t="shared" ca="1" si="12"/>
        <v>35</v>
      </c>
      <c r="N24" s="9">
        <f t="shared" ca="1" si="13"/>
        <v>0.3</v>
      </c>
      <c r="O24" s="9">
        <f t="shared" ca="1" si="14"/>
        <v>0.4</v>
      </c>
      <c r="P24">
        <f t="shared" ca="1" si="15"/>
        <v>553</v>
      </c>
      <c r="Q24" t="str">
        <f t="shared" ca="1" si="1"/>
        <v>LOC-HI-Y</v>
      </c>
    </row>
    <row r="25" spans="1:29" x14ac:dyDescent="0.25">
      <c r="A25" s="1" t="s">
        <v>4184</v>
      </c>
      <c r="B25" s="11">
        <f t="shared" ca="1" si="2"/>
        <v>43908</v>
      </c>
      <c r="C25" s="3" t="str">
        <f t="shared" ca="1" si="3"/>
        <v>Prod-031</v>
      </c>
      <c r="D25" s="1" t="str">
        <f t="shared" ca="1" si="4"/>
        <v>Android Dynasty</v>
      </c>
      <c r="E25" t="str">
        <f t="shared" ca="1" si="5"/>
        <v>Strategy</v>
      </c>
      <c r="F25" t="str">
        <f t="shared" ca="1" si="6"/>
        <v>Alphacom</v>
      </c>
      <c r="G25" t="str">
        <f t="shared" ca="1" si="7"/>
        <v>Rare Spectre Arts</v>
      </c>
      <c r="H25" t="str">
        <f t="shared" ca="1" si="8"/>
        <v>PEGI-16</v>
      </c>
      <c r="I25" s="6">
        <f t="shared" ca="1" si="9"/>
        <v>95</v>
      </c>
      <c r="J25" t="str">
        <f t="shared" ca="1" si="10"/>
        <v>6 Hours</v>
      </c>
      <c r="K25" t="str">
        <f t="shared" ca="1" si="11"/>
        <v>Gold</v>
      </c>
      <c r="L25" s="7">
        <f t="shared" ca="1" si="0"/>
        <v>110</v>
      </c>
      <c r="M25" s="10">
        <f t="shared" ca="1" si="12"/>
        <v>71.5</v>
      </c>
      <c r="N25" s="9">
        <f t="shared" ca="1" si="13"/>
        <v>0.35</v>
      </c>
      <c r="O25" s="9">
        <f t="shared" ca="1" si="14"/>
        <v>0.1</v>
      </c>
      <c r="P25">
        <f t="shared" ca="1" si="15"/>
        <v>726</v>
      </c>
      <c r="Q25" t="str">
        <f t="shared" ca="1" si="1"/>
        <v>GLO-LO-Y</v>
      </c>
    </row>
    <row r="26" spans="1:29" x14ac:dyDescent="0.25">
      <c r="A26" s="1" t="s">
        <v>4185</v>
      </c>
      <c r="B26" s="11">
        <f t="shared" ca="1" si="2"/>
        <v>43877</v>
      </c>
      <c r="C26" s="3" t="str">
        <f t="shared" ca="1" si="3"/>
        <v>Prod-015</v>
      </c>
      <c r="D26" s="1" t="str">
        <f t="shared" ca="1" si="4"/>
        <v>Hand and Chronicles</v>
      </c>
      <c r="E26" t="str">
        <f t="shared" ca="1" si="5"/>
        <v>Adventure</v>
      </c>
      <c r="F26" t="str">
        <f t="shared" ca="1" si="6"/>
        <v>Fairyhive</v>
      </c>
      <c r="G26" t="str">
        <f t="shared" ca="1" si="7"/>
        <v>Thunderjam Interactive</v>
      </c>
      <c r="H26" t="str">
        <f t="shared" ca="1" si="8"/>
        <v>PEGI-3</v>
      </c>
      <c r="I26" s="6">
        <f t="shared" ca="1" si="9"/>
        <v>89</v>
      </c>
      <c r="J26" t="str">
        <f t="shared" ca="1" si="10"/>
        <v>3 Hours</v>
      </c>
      <c r="K26" t="str">
        <f t="shared" ca="1" si="11"/>
        <v>Standard</v>
      </c>
      <c r="L26" s="7">
        <f t="shared" ca="1" si="0"/>
        <v>60</v>
      </c>
      <c r="M26" s="10">
        <f t="shared" ca="1" si="12"/>
        <v>48</v>
      </c>
      <c r="N26" s="9">
        <f t="shared" ca="1" si="13"/>
        <v>0.2</v>
      </c>
      <c r="O26" s="9">
        <f t="shared" ca="1" si="14"/>
        <v>0.1</v>
      </c>
      <c r="P26">
        <f t="shared" ca="1" si="15"/>
        <v>660</v>
      </c>
      <c r="Q26" t="str">
        <f t="shared" ca="1" si="1"/>
        <v>GLO-HI-N</v>
      </c>
      <c r="U26" t="str">
        <f ca="1">insertinto(A2:Q2,$AB$1:$AC$17,"Orders")</f>
        <v>insert into Orders values ('Ord-001', '24-Feb-2020', 'Prod-001', 'Red Omen', 'Action', 'Surprisystems', 'Dapper Bull Media', 'PEGI-12', 97, '58 Hours', 'Standard', 40, 32, 0.2, 0, 902, 'LOC-ME-Y');</v>
      </c>
    </row>
    <row r="27" spans="1:29" x14ac:dyDescent="0.25">
      <c r="A27" s="1" t="s">
        <v>4186</v>
      </c>
      <c r="B27" s="11">
        <f t="shared" ca="1" si="2"/>
        <v>43988</v>
      </c>
      <c r="C27" s="3" t="str">
        <f t="shared" ca="1" si="3"/>
        <v>Prod-008</v>
      </c>
      <c r="D27" s="1" t="str">
        <f t="shared" ca="1" si="4"/>
        <v>Blueborne</v>
      </c>
      <c r="E27" t="str">
        <f t="shared" ca="1" si="5"/>
        <v>Action</v>
      </c>
      <c r="F27" t="str">
        <f t="shared" ca="1" si="6"/>
        <v>Alphacom</v>
      </c>
      <c r="G27" t="str">
        <f t="shared" ca="1" si="7"/>
        <v>Subdomain Game Studios</v>
      </c>
      <c r="H27" t="str">
        <f t="shared" ca="1" si="8"/>
        <v>PEGI-7</v>
      </c>
      <c r="I27" s="6">
        <f t="shared" ca="1" si="9"/>
        <v>92</v>
      </c>
      <c r="J27" t="str">
        <f t="shared" ca="1" si="10"/>
        <v>23 Hours</v>
      </c>
      <c r="K27" t="str">
        <f t="shared" ca="1" si="11"/>
        <v>Gold</v>
      </c>
      <c r="L27" s="7">
        <f t="shared" ca="1" si="0"/>
        <v>90</v>
      </c>
      <c r="M27" s="10">
        <f t="shared" ca="1" si="12"/>
        <v>58.5</v>
      </c>
      <c r="N27" s="9">
        <f t="shared" ca="1" si="13"/>
        <v>0.35</v>
      </c>
      <c r="O27" s="9">
        <f t="shared" ca="1" si="14"/>
        <v>0.4</v>
      </c>
      <c r="P27">
        <f t="shared" ca="1" si="15"/>
        <v>533</v>
      </c>
      <c r="Q27" t="str">
        <f t="shared" ca="1" si="1"/>
        <v>LOC-LO-Y</v>
      </c>
      <c r="U27" t="str">
        <f t="shared" ref="U27:U90" ca="1" si="16">insertinto(A3:Q3,$AB$1:$AC$17,"Orders")</f>
        <v>insert into Orders values ('Ord-002', '24-Jan-2020', 'Prod-038', 'Siegefront', 'Strategy', 'Moondustries', 'Vagabond Interactive', 'PEGI-18', 64, '69 Hours', 'Standard', 60, 48, 0.2, 0.75, 294, 'GLO-HI-N');</v>
      </c>
    </row>
    <row r="28" spans="1:29" x14ac:dyDescent="0.25">
      <c r="A28" s="1" t="s">
        <v>4187</v>
      </c>
      <c r="B28" s="11">
        <f t="shared" ca="1" si="2"/>
        <v>43949</v>
      </c>
      <c r="C28" s="3" t="str">
        <f t="shared" ca="1" si="3"/>
        <v>Prod-027</v>
      </c>
      <c r="D28" s="1" t="str">
        <f t="shared" ca="1" si="4"/>
        <v>Shardforce</v>
      </c>
      <c r="E28" t="str">
        <f t="shared" ca="1" si="5"/>
        <v>RPG</v>
      </c>
      <c r="F28" t="str">
        <f t="shared" ca="1" si="6"/>
        <v>Fairyhive</v>
      </c>
      <c r="G28" t="str">
        <f t="shared" ca="1" si="7"/>
        <v>Scary Lizard Productions</v>
      </c>
      <c r="H28" t="str">
        <f t="shared" ca="1" si="8"/>
        <v>PEGI-12</v>
      </c>
      <c r="I28" s="6">
        <f t="shared" ca="1" si="9"/>
        <v>65</v>
      </c>
      <c r="J28" t="str">
        <f t="shared" ca="1" si="10"/>
        <v>45 Hours</v>
      </c>
      <c r="K28" t="str">
        <f t="shared" ca="1" si="11"/>
        <v>Deluxe</v>
      </c>
      <c r="L28" s="7">
        <f t="shared" ca="1" si="0"/>
        <v>50</v>
      </c>
      <c r="M28" s="10">
        <f t="shared" ca="1" si="12"/>
        <v>35</v>
      </c>
      <c r="N28" s="9">
        <f t="shared" ca="1" si="13"/>
        <v>0.3</v>
      </c>
      <c r="O28" s="9">
        <f t="shared" ca="1" si="14"/>
        <v>0.4</v>
      </c>
      <c r="P28">
        <f t="shared" ca="1" si="15"/>
        <v>325</v>
      </c>
      <c r="Q28" t="str">
        <f t="shared" ca="1" si="1"/>
        <v>LOC-HI-Y</v>
      </c>
      <c r="U28" t="str">
        <f t="shared" ca="1" si="16"/>
        <v>insert into Orders values ('Ord-003', '17-Apr-2020', 'Prod-023', 'Magic of Mythology', 'RPG', 'Heartpoint', 'Moonware Interactive', 'PEGI-16', 60, '36 Hours', 'Standard', 50, 40, 0.2, 0.75, 206, 'LOC-ME-Y');</v>
      </c>
    </row>
    <row r="29" spans="1:29" x14ac:dyDescent="0.25">
      <c r="A29" s="1" t="s">
        <v>4188</v>
      </c>
      <c r="B29" s="11">
        <f t="shared" ca="1" si="2"/>
        <v>43841</v>
      </c>
      <c r="C29" s="3" t="str">
        <f t="shared" ca="1" si="3"/>
        <v>Prod-034</v>
      </c>
      <c r="D29" s="1" t="str">
        <f t="shared" ca="1" si="4"/>
        <v>Titans of Pain</v>
      </c>
      <c r="E29" t="str">
        <f t="shared" ca="1" si="5"/>
        <v>Strategy</v>
      </c>
      <c r="F29" t="str">
        <f t="shared" ca="1" si="6"/>
        <v>Moondustries</v>
      </c>
      <c r="G29" t="str">
        <f t="shared" ca="1" si="7"/>
        <v>Numb Kitten Productions</v>
      </c>
      <c r="H29" t="str">
        <f t="shared" ca="1" si="8"/>
        <v>PEGI-12</v>
      </c>
      <c r="I29" s="6">
        <f t="shared" ca="1" si="9"/>
        <v>87</v>
      </c>
      <c r="J29" t="str">
        <f t="shared" ca="1" si="10"/>
        <v>13 Hours</v>
      </c>
      <c r="K29" t="str">
        <f t="shared" ca="1" si="11"/>
        <v>Collector</v>
      </c>
      <c r="L29" s="7">
        <f t="shared" ca="1" si="0"/>
        <v>140</v>
      </c>
      <c r="M29" s="10">
        <f t="shared" ca="1" si="12"/>
        <v>77</v>
      </c>
      <c r="N29" s="9">
        <f t="shared" ca="1" si="13"/>
        <v>0.45</v>
      </c>
      <c r="O29" s="9">
        <f t="shared" ca="1" si="14"/>
        <v>0.4</v>
      </c>
      <c r="P29">
        <f t="shared" ca="1" si="15"/>
        <v>535</v>
      </c>
      <c r="Q29" t="str">
        <f t="shared" ca="1" si="1"/>
        <v>GLO-LO-N</v>
      </c>
      <c r="U29" t="str">
        <f t="shared" ca="1" si="16"/>
        <v>insert into Orders values ('Ord-004', '27-Jan-2020', 'Prod-023', 'Magic of Mythology', 'RPG', 'Cliff Acoustics', 'Subdomain Game Studios', 'PEGI-18', 64, '74 Hours', 'Deluxe', 50, 35, 0.3, 0, 856, 'LOC-HI-Y');</v>
      </c>
    </row>
    <row r="30" spans="1:29" x14ac:dyDescent="0.25">
      <c r="A30" s="1" t="s">
        <v>4189</v>
      </c>
      <c r="B30" s="11">
        <f t="shared" ca="1" si="2"/>
        <v>44001</v>
      </c>
      <c r="C30" s="3" t="str">
        <f t="shared" ca="1" si="3"/>
        <v>Prod-002</v>
      </c>
      <c r="D30" s="1" t="str">
        <f t="shared" ca="1" si="4"/>
        <v>Titan Carnage</v>
      </c>
      <c r="E30" t="str">
        <f t="shared" ca="1" si="5"/>
        <v>Action</v>
      </c>
      <c r="F30" t="str">
        <f t="shared" ca="1" si="6"/>
        <v>Diamond Media</v>
      </c>
      <c r="G30" t="str">
        <f t="shared" ca="1" si="7"/>
        <v>Dumb Luck Entertainment</v>
      </c>
      <c r="H30" t="str">
        <f t="shared" ca="1" si="8"/>
        <v>PEGI-3</v>
      </c>
      <c r="I30" s="6">
        <f t="shared" ca="1" si="9"/>
        <v>95</v>
      </c>
      <c r="J30" t="str">
        <f t="shared" ca="1" si="10"/>
        <v>70 Hours</v>
      </c>
      <c r="K30" t="str">
        <f t="shared" ca="1" si="11"/>
        <v>Collector</v>
      </c>
      <c r="L30" s="7">
        <f t="shared" ca="1" si="0"/>
        <v>100</v>
      </c>
      <c r="M30" s="10">
        <f t="shared" ca="1" si="12"/>
        <v>55</v>
      </c>
      <c r="N30" s="9">
        <f t="shared" ca="1" si="13"/>
        <v>0.45</v>
      </c>
      <c r="O30" s="9">
        <f t="shared" ca="1" si="14"/>
        <v>0.75</v>
      </c>
      <c r="P30">
        <f t="shared" ca="1" si="15"/>
        <v>69</v>
      </c>
      <c r="Q30" t="str">
        <f t="shared" ca="1" si="1"/>
        <v>GLO-LO-Y</v>
      </c>
      <c r="U30" t="str">
        <f t="shared" ca="1" si="16"/>
        <v>insert into Orders values ('Ord-005', '27-Apr-2020', 'Prod-014', 'Wizards of Sorrow', 'Adventure', 'Moondustries', 'Light Crow Games', 'PEGI-12', 70, '3 Hours', 'Collector', 200, 110, 0.45, 0, 934, 'GLO-ME-Y');</v>
      </c>
    </row>
    <row r="31" spans="1:29" x14ac:dyDescent="0.25">
      <c r="A31" s="1" t="s">
        <v>4190</v>
      </c>
      <c r="B31" s="11">
        <f t="shared" ca="1" si="2"/>
        <v>43907</v>
      </c>
      <c r="C31" s="3" t="str">
        <f t="shared" ca="1" si="3"/>
        <v>Prod-030</v>
      </c>
      <c r="D31" s="1" t="str">
        <f t="shared" ca="1" si="4"/>
        <v>Arcanepath</v>
      </c>
      <c r="E31" t="str">
        <f t="shared" ca="1" si="5"/>
        <v>RPG</v>
      </c>
      <c r="F31" t="str">
        <f t="shared" ca="1" si="6"/>
        <v>Cliff Acoustics</v>
      </c>
      <c r="G31" t="str">
        <f t="shared" ca="1" si="7"/>
        <v>Light Crow Games</v>
      </c>
      <c r="H31" t="str">
        <f t="shared" ca="1" si="8"/>
        <v>PEGI-16</v>
      </c>
      <c r="I31" s="6">
        <f t="shared" ca="1" si="9"/>
        <v>59</v>
      </c>
      <c r="J31" t="str">
        <f t="shared" ca="1" si="10"/>
        <v>17 Hours</v>
      </c>
      <c r="K31" t="str">
        <f t="shared" ca="1" si="11"/>
        <v>Standard</v>
      </c>
      <c r="L31" s="7">
        <f t="shared" ca="1" si="0"/>
        <v>50</v>
      </c>
      <c r="M31" s="10">
        <f t="shared" ca="1" si="12"/>
        <v>40</v>
      </c>
      <c r="N31" s="9">
        <f t="shared" ca="1" si="13"/>
        <v>0.2</v>
      </c>
      <c r="O31" s="9">
        <f t="shared" ca="1" si="14"/>
        <v>0</v>
      </c>
      <c r="P31">
        <f t="shared" ca="1" si="15"/>
        <v>919</v>
      </c>
      <c r="Q31" t="str">
        <f t="shared" ca="1" si="1"/>
        <v>LOC-HI-N</v>
      </c>
      <c r="U31" t="str">
        <f t="shared" ca="1" si="16"/>
        <v>insert into Orders values ('Ord-006', '21-Apr-2020', 'Prod-031', 'Android Dynasty', 'Strategy', 'Crypticorps', 'Winterpunch Game Studios', 'PEGI-3', 58, '23 Hours', 'Deluxe', 50, 35, 0.3, 0.75, 169, 'GLO-LO-Y');</v>
      </c>
    </row>
    <row r="32" spans="1:29" x14ac:dyDescent="0.25">
      <c r="A32" s="1" t="s">
        <v>4191</v>
      </c>
      <c r="B32" s="11">
        <f t="shared" ca="1" si="2"/>
        <v>44005</v>
      </c>
      <c r="C32" s="3" t="str">
        <f t="shared" ca="1" si="3"/>
        <v>Prod-033</v>
      </c>
      <c r="D32" s="1" t="str">
        <f t="shared" ca="1" si="4"/>
        <v>Warlords of Turmoil</v>
      </c>
      <c r="E32" t="str">
        <f t="shared" ca="1" si="5"/>
        <v>Strategy</v>
      </c>
      <c r="F32" t="str">
        <f t="shared" ca="1" si="6"/>
        <v>Alphacom</v>
      </c>
      <c r="G32" t="str">
        <f t="shared" ca="1" si="7"/>
        <v>Subdomain Game Studios</v>
      </c>
      <c r="H32" t="str">
        <f t="shared" ca="1" si="8"/>
        <v>PEGI-7</v>
      </c>
      <c r="I32" s="6">
        <f t="shared" ca="1" si="9"/>
        <v>78</v>
      </c>
      <c r="J32" t="str">
        <f t="shared" ca="1" si="10"/>
        <v>46 Hours</v>
      </c>
      <c r="K32" t="str">
        <f t="shared" ca="1" si="11"/>
        <v>Gold</v>
      </c>
      <c r="L32" s="7">
        <f t="shared" ca="1" si="0"/>
        <v>70</v>
      </c>
      <c r="M32" s="10">
        <f t="shared" ca="1" si="12"/>
        <v>45.5</v>
      </c>
      <c r="N32" s="9">
        <f t="shared" ca="1" si="13"/>
        <v>0.35</v>
      </c>
      <c r="O32" s="9">
        <f t="shared" ca="1" si="14"/>
        <v>0</v>
      </c>
      <c r="P32">
        <f t="shared" ca="1" si="15"/>
        <v>823</v>
      </c>
      <c r="Q32" t="str">
        <f t="shared" ca="1" si="1"/>
        <v>GLO-ME-Y</v>
      </c>
      <c r="U32" t="str">
        <f t="shared" ca="1" si="16"/>
        <v>insert into Orders values ('Ord-007', '05-Jan-2020', 'Prod-004', 'Vengeance of Trickery', 'Action', 'Diamond Media', 'Thunderjam Interactive', 'PEGI-7', 67, '78 Hours', 'Gold', 70, 45.5, 0.35, 0.4, 422, 'GLO-ME-N');</v>
      </c>
    </row>
    <row r="33" spans="1:21" x14ac:dyDescent="0.25">
      <c r="A33" s="1" t="s">
        <v>4192</v>
      </c>
      <c r="B33" s="11">
        <f t="shared" ca="1" si="2"/>
        <v>43996</v>
      </c>
      <c r="C33" s="3" t="str">
        <f t="shared" ca="1" si="3"/>
        <v>Prod-034</v>
      </c>
      <c r="D33" s="1" t="str">
        <f t="shared" ca="1" si="4"/>
        <v>Titans of Pain</v>
      </c>
      <c r="E33" t="str">
        <f t="shared" ca="1" si="5"/>
        <v>Strategy</v>
      </c>
      <c r="F33" t="str">
        <f t="shared" ca="1" si="6"/>
        <v>Diamond Media</v>
      </c>
      <c r="G33" t="str">
        <f t="shared" ca="1" si="7"/>
        <v>Dapper Bull Media</v>
      </c>
      <c r="H33" t="str">
        <f t="shared" ca="1" si="8"/>
        <v>PEGI-7</v>
      </c>
      <c r="I33" s="6">
        <f t="shared" ca="1" si="9"/>
        <v>79</v>
      </c>
      <c r="J33" t="str">
        <f t="shared" ca="1" si="10"/>
        <v>62 Hours</v>
      </c>
      <c r="K33" t="str">
        <f t="shared" ca="1" si="11"/>
        <v>Deluxe</v>
      </c>
      <c r="L33" s="7">
        <f t="shared" ca="1" si="0"/>
        <v>70</v>
      </c>
      <c r="M33" s="10">
        <f t="shared" ca="1" si="12"/>
        <v>49</v>
      </c>
      <c r="N33" s="9">
        <f t="shared" ca="1" si="13"/>
        <v>0.3</v>
      </c>
      <c r="O33" s="9">
        <f t="shared" ca="1" si="14"/>
        <v>0.1</v>
      </c>
      <c r="P33">
        <f t="shared" ca="1" si="15"/>
        <v>757</v>
      </c>
      <c r="Q33" t="str">
        <f t="shared" ca="1" si="1"/>
        <v>LOC-ME-N</v>
      </c>
      <c r="U33" t="str">
        <f t="shared" ca="1" si="16"/>
        <v>insert into Orders values ('Ord-008', '09-Mar-2020', 'Prod-038', 'Siegefront', 'Strategy', 'Alphacom', 'Pretty Mage Arts', 'PEGI-16', 68, '35 Hours', 'Deluxe', 40, 28, 0.3, 0.75, 247, 'GLO-ME-Y');</v>
      </c>
    </row>
    <row r="34" spans="1:21" x14ac:dyDescent="0.25">
      <c r="A34" s="1" t="s">
        <v>4193</v>
      </c>
      <c r="B34" s="11">
        <f t="shared" ca="1" si="2"/>
        <v>43872</v>
      </c>
      <c r="C34" s="3" t="str">
        <f t="shared" ca="1" si="3"/>
        <v>Prod-028</v>
      </c>
      <c r="D34" s="1" t="str">
        <f t="shared" ca="1" si="4"/>
        <v>Warhunt</v>
      </c>
      <c r="E34" t="str">
        <f t="shared" ca="1" si="5"/>
        <v>RPG</v>
      </c>
      <c r="F34" t="str">
        <f t="shared" ca="1" si="6"/>
        <v>Cliff Acoustics</v>
      </c>
      <c r="G34" t="str">
        <f t="shared" ca="1" si="7"/>
        <v>Scary Lizard Productions</v>
      </c>
      <c r="H34" t="str">
        <f t="shared" ca="1" si="8"/>
        <v>PEGI-3</v>
      </c>
      <c r="I34" s="6">
        <f t="shared" ca="1" si="9"/>
        <v>60</v>
      </c>
      <c r="J34" t="str">
        <f t="shared" ca="1" si="10"/>
        <v>33 Hours</v>
      </c>
      <c r="K34" t="str">
        <f t="shared" ca="1" si="11"/>
        <v>Deluxe</v>
      </c>
      <c r="L34" s="7">
        <f t="shared" ref="L34:L65" ca="1" si="17">IF(K34 =$Y$13, r_uniform(20,60,-1), IF(K34 =$Y$14, r_uniform(40,80,-1),IF(K34 =$Y$15, r_uniform(60,120,-1),IF(K34 =$Y$16, r_uniform(100,300,-1)))))</f>
        <v>40</v>
      </c>
      <c r="M34" s="10">
        <f t="shared" ca="1" si="12"/>
        <v>28</v>
      </c>
      <c r="N34" s="9">
        <f t="shared" ca="1" si="13"/>
        <v>0.3</v>
      </c>
      <c r="O34" s="9">
        <f t="shared" ca="1" si="14"/>
        <v>0.4</v>
      </c>
      <c r="P34">
        <f t="shared" ca="1" si="15"/>
        <v>517</v>
      </c>
      <c r="Q34" t="str">
        <f t="shared" ref="Q34:Q65" ca="1" si="18">r_choice($Z$9:$Z$10)&amp;"-"&amp;r_choice($Z$13:$Z$15)&amp;"-"&amp;r_choice($Z$18:$Z$19)</f>
        <v>LOC-HI-Y</v>
      </c>
      <c r="U34" t="str">
        <f t="shared" ca="1" si="16"/>
        <v>insert into Orders values ('Ord-009', '26-Jan-2020', 'Prod-020', 'Emberville', 'Adventure', 'Cliff Acoustics', 'Light Crow Games', 'PEGI-12', 70, '32 Hours', 'Deluxe', 80, 56, 0.3, 0.4, 567, 'GLO-LO-Y');</v>
      </c>
    </row>
    <row r="35" spans="1:21" x14ac:dyDescent="0.25">
      <c r="A35" s="1" t="s">
        <v>4194</v>
      </c>
      <c r="B35" s="11">
        <f t="shared" ca="1" si="2"/>
        <v>43937</v>
      </c>
      <c r="C35" s="3" t="str">
        <f t="shared" ca="1" si="3"/>
        <v>Prod-013</v>
      </c>
      <c r="D35" s="1" t="str">
        <f t="shared" ca="1" si="4"/>
        <v>Monsters of Nightmares</v>
      </c>
      <c r="E35" t="str">
        <f t="shared" ca="1" si="5"/>
        <v>Adventure</v>
      </c>
      <c r="F35" t="str">
        <f t="shared" ca="1" si="6"/>
        <v>Crypticorps</v>
      </c>
      <c r="G35" t="str">
        <f t="shared" ca="1" si="7"/>
        <v>Light Crow Games</v>
      </c>
      <c r="H35" t="str">
        <f t="shared" ca="1" si="8"/>
        <v>PEGI-18</v>
      </c>
      <c r="I35" s="6">
        <f t="shared" ca="1" si="9"/>
        <v>57</v>
      </c>
      <c r="J35" t="str">
        <f t="shared" ca="1" si="10"/>
        <v>51 Hours</v>
      </c>
      <c r="K35" t="str">
        <f t="shared" ca="1" si="11"/>
        <v>Gold</v>
      </c>
      <c r="L35" s="7">
        <f t="shared" ca="1" si="17"/>
        <v>60</v>
      </c>
      <c r="M35" s="10">
        <f t="shared" ca="1" si="12"/>
        <v>39</v>
      </c>
      <c r="N35" s="9">
        <f t="shared" ca="1" si="13"/>
        <v>0.35</v>
      </c>
      <c r="O35" s="9">
        <f t="shared" ca="1" si="14"/>
        <v>0</v>
      </c>
      <c r="P35">
        <f t="shared" ca="1" si="15"/>
        <v>808</v>
      </c>
      <c r="Q35" t="str">
        <f t="shared" ca="1" si="18"/>
        <v>GLO-HI-N</v>
      </c>
      <c r="U35" t="str">
        <f t="shared" ca="1" si="16"/>
        <v>insert into Orders values ('Ord-010', '15-Jun-2020', 'Prod-023', 'Magic of Mythology', 'RPG', 'Cliff Acoustics', 'Filthy Door Interactive', 'PEGI-18', 99, '17 Hours', 'Collector', 100, 55, 0.45, 0.4, 524, 'GLO-HI-N');</v>
      </c>
    </row>
    <row r="36" spans="1:21" x14ac:dyDescent="0.25">
      <c r="A36" s="1" t="s">
        <v>4195</v>
      </c>
      <c r="B36" s="11">
        <f t="shared" ca="1" si="2"/>
        <v>44011</v>
      </c>
      <c r="C36" s="3" t="str">
        <f t="shared" ca="1" si="3"/>
        <v>Prod-038</v>
      </c>
      <c r="D36" s="1" t="str">
        <f t="shared" ca="1" si="4"/>
        <v>Siegefront</v>
      </c>
      <c r="E36" t="str">
        <f t="shared" ca="1" si="5"/>
        <v>Strategy</v>
      </c>
      <c r="F36" t="str">
        <f t="shared" ca="1" si="6"/>
        <v>Lionshine</v>
      </c>
      <c r="G36" t="str">
        <f t="shared" ca="1" si="7"/>
        <v>Vagabond Interactive</v>
      </c>
      <c r="H36" t="str">
        <f t="shared" ca="1" si="8"/>
        <v>PEGI-16</v>
      </c>
      <c r="I36" s="6">
        <f t="shared" ca="1" si="9"/>
        <v>82</v>
      </c>
      <c r="J36" t="str">
        <f t="shared" ca="1" si="10"/>
        <v>14 Hours</v>
      </c>
      <c r="K36" t="str">
        <f t="shared" ca="1" si="11"/>
        <v>Deluxe</v>
      </c>
      <c r="L36" s="7">
        <f t="shared" ca="1" si="17"/>
        <v>50</v>
      </c>
      <c r="M36" s="10">
        <f t="shared" ca="1" si="12"/>
        <v>35</v>
      </c>
      <c r="N36" s="9">
        <f t="shared" ca="1" si="13"/>
        <v>0.3</v>
      </c>
      <c r="O36" s="9">
        <f t="shared" ca="1" si="14"/>
        <v>0.1</v>
      </c>
      <c r="P36">
        <f t="shared" ca="1" si="15"/>
        <v>613</v>
      </c>
      <c r="Q36" t="str">
        <f t="shared" ca="1" si="18"/>
        <v>GLO-HI-Y</v>
      </c>
      <c r="U36" t="str">
        <f t="shared" ca="1" si="16"/>
        <v>insert into Orders values ('Ord-011', '14-Apr-2020', 'Prod-005', 'Ghosts and Command', 'Action', 'Surprisystems', 'Subdomain Game Studios', 'PEGI-7', 96, '9 Hours', 'Standard', 40, 32, 0.2, 0.4, 369, 'LOC-ME-N');</v>
      </c>
    </row>
    <row r="37" spans="1:21" x14ac:dyDescent="0.25">
      <c r="A37" s="1" t="s">
        <v>4196</v>
      </c>
      <c r="B37" s="11">
        <f t="shared" ca="1" si="2"/>
        <v>44000</v>
      </c>
      <c r="C37" s="3" t="str">
        <f t="shared" ca="1" si="3"/>
        <v>Prod-017</v>
      </c>
      <c r="D37" s="1" t="str">
        <f t="shared" ca="1" si="4"/>
        <v>Madscape</v>
      </c>
      <c r="E37" t="str">
        <f t="shared" ca="1" si="5"/>
        <v>Adventure</v>
      </c>
      <c r="F37" t="str">
        <f t="shared" ca="1" si="6"/>
        <v>Moondustries</v>
      </c>
      <c r="G37" t="str">
        <f t="shared" ca="1" si="7"/>
        <v>Pretty Mage Arts</v>
      </c>
      <c r="H37" t="str">
        <f t="shared" ca="1" si="8"/>
        <v>PEGI-18</v>
      </c>
      <c r="I37" s="6">
        <f t="shared" ca="1" si="9"/>
        <v>58</v>
      </c>
      <c r="J37" t="str">
        <f t="shared" ca="1" si="10"/>
        <v>74 Hours</v>
      </c>
      <c r="K37" t="str">
        <f t="shared" ca="1" si="11"/>
        <v>Standard</v>
      </c>
      <c r="L37" s="7">
        <f t="shared" ca="1" si="17"/>
        <v>50</v>
      </c>
      <c r="M37" s="10">
        <f t="shared" ca="1" si="12"/>
        <v>40</v>
      </c>
      <c r="N37" s="9">
        <f t="shared" ca="1" si="13"/>
        <v>0.2</v>
      </c>
      <c r="O37" s="9">
        <f t="shared" ca="1" si="14"/>
        <v>0</v>
      </c>
      <c r="P37">
        <f t="shared" ca="1" si="15"/>
        <v>997</v>
      </c>
      <c r="Q37" t="str">
        <f t="shared" ca="1" si="18"/>
        <v>GLO-LO-Y</v>
      </c>
      <c r="U37" t="str">
        <f t="shared" ca="1" si="16"/>
        <v>insert into Orders values ('Ord-012', '12-Mar-2020', 'Prod-034', 'Titans of Pain', 'Strategy', 'Surprisystems', 'Honest Door Entertainment', 'PEGI-3', 58, '17 Hours', 'Gold', 120, 78, 0.35, 0.4, 367, 'GLO-LO-Y');</v>
      </c>
    </row>
    <row r="38" spans="1:21" x14ac:dyDescent="0.25">
      <c r="A38" s="1" t="s">
        <v>4197</v>
      </c>
      <c r="B38" s="11">
        <f t="shared" ca="1" si="2"/>
        <v>43868</v>
      </c>
      <c r="C38" s="3" t="str">
        <f t="shared" ca="1" si="3"/>
        <v>Prod-022</v>
      </c>
      <c r="D38" s="1" t="str">
        <f t="shared" ca="1" si="4"/>
        <v>Eternal Harvest</v>
      </c>
      <c r="E38" t="str">
        <f t="shared" ca="1" si="5"/>
        <v>RPG</v>
      </c>
      <c r="F38" t="str">
        <f t="shared" ca="1" si="6"/>
        <v>Fairyhive</v>
      </c>
      <c r="G38" t="str">
        <f t="shared" ca="1" si="7"/>
        <v>Starsoft Productions</v>
      </c>
      <c r="H38" t="str">
        <f t="shared" ca="1" si="8"/>
        <v>PEGI-18</v>
      </c>
      <c r="I38" s="6">
        <f t="shared" ca="1" si="9"/>
        <v>93</v>
      </c>
      <c r="J38" t="str">
        <f t="shared" ca="1" si="10"/>
        <v>73 Hours</v>
      </c>
      <c r="K38" t="str">
        <f t="shared" ca="1" si="11"/>
        <v>Gold</v>
      </c>
      <c r="L38" s="7">
        <f t="shared" ca="1" si="17"/>
        <v>70</v>
      </c>
      <c r="M38" s="10">
        <f t="shared" ca="1" si="12"/>
        <v>45.5</v>
      </c>
      <c r="N38" s="9">
        <f t="shared" ca="1" si="13"/>
        <v>0.35</v>
      </c>
      <c r="O38" s="9">
        <f t="shared" ca="1" si="14"/>
        <v>0.4</v>
      </c>
      <c r="P38">
        <f t="shared" ca="1" si="15"/>
        <v>361</v>
      </c>
      <c r="Q38" t="str">
        <f t="shared" ca="1" si="18"/>
        <v>LOC-HI-N</v>
      </c>
      <c r="U38" t="str">
        <f t="shared" ca="1" si="16"/>
        <v>insert into Orders values ('Ord-013', '09-Apr-2020', 'Prod-019', 'Chronorite', 'Adventure', 'Crypticorps', 'Starsoft Productions', 'PEGI-3', 96, '39 Hours', 'Gold', 70, 45.5, 0.35, 0.4, 552, 'GLO-LO-Y');</v>
      </c>
    </row>
    <row r="39" spans="1:21" x14ac:dyDescent="0.25">
      <c r="A39" s="1" t="s">
        <v>4198</v>
      </c>
      <c r="B39" s="11">
        <f t="shared" ca="1" si="2"/>
        <v>43944</v>
      </c>
      <c r="C39" s="3" t="str">
        <f t="shared" ca="1" si="3"/>
        <v>Prod-015</v>
      </c>
      <c r="D39" s="1" t="str">
        <f t="shared" ca="1" si="4"/>
        <v>Hand and Chronicles</v>
      </c>
      <c r="E39" t="str">
        <f t="shared" ca="1" si="5"/>
        <v>Adventure</v>
      </c>
      <c r="F39" t="str">
        <f t="shared" ca="1" si="6"/>
        <v>Crypticorps</v>
      </c>
      <c r="G39" t="str">
        <f t="shared" ca="1" si="7"/>
        <v>Scary Lizard Productions</v>
      </c>
      <c r="H39" t="str">
        <f t="shared" ca="1" si="8"/>
        <v>PEGI-3</v>
      </c>
      <c r="I39" s="6">
        <f t="shared" ca="1" si="9"/>
        <v>84</v>
      </c>
      <c r="J39" t="str">
        <f t="shared" ca="1" si="10"/>
        <v>56 Hours</v>
      </c>
      <c r="K39" t="str">
        <f t="shared" ca="1" si="11"/>
        <v>Deluxe</v>
      </c>
      <c r="L39" s="7">
        <f t="shared" ca="1" si="17"/>
        <v>50</v>
      </c>
      <c r="M39" s="10">
        <f t="shared" ca="1" si="12"/>
        <v>35</v>
      </c>
      <c r="N39" s="9">
        <f t="shared" ca="1" si="13"/>
        <v>0.3</v>
      </c>
      <c r="O39" s="9">
        <f t="shared" ca="1" si="14"/>
        <v>0.1</v>
      </c>
      <c r="P39">
        <f t="shared" ca="1" si="15"/>
        <v>703</v>
      </c>
      <c r="Q39" t="str">
        <f t="shared" ca="1" si="18"/>
        <v>LOC-LO-Y</v>
      </c>
      <c r="U39" t="str">
        <f t="shared" ca="1" si="16"/>
        <v>insert into Orders values ('Ord-014', '01-Mar-2020', 'Prod-038', 'Siegefront', 'Strategy', 'Alphacom', 'Fierce Studios', 'PEGI-18', 98, '36 Hours', 'Standard', 20, 16, 0.2, 0.4, 448, 'LOC-HI-N');</v>
      </c>
    </row>
    <row r="40" spans="1:21" x14ac:dyDescent="0.25">
      <c r="A40" s="1" t="s">
        <v>4199</v>
      </c>
      <c r="B40" s="11">
        <f t="shared" ca="1" si="2"/>
        <v>43922</v>
      </c>
      <c r="C40" s="3" t="str">
        <f t="shared" ca="1" si="3"/>
        <v>Prod-019</v>
      </c>
      <c r="D40" s="1" t="str">
        <f t="shared" ca="1" si="4"/>
        <v>Chronorite</v>
      </c>
      <c r="E40" t="str">
        <f t="shared" ca="1" si="5"/>
        <v>Adventure</v>
      </c>
      <c r="F40" t="str">
        <f t="shared" ca="1" si="6"/>
        <v>Heartpoint</v>
      </c>
      <c r="G40" t="str">
        <f t="shared" ca="1" si="7"/>
        <v>Scary Lizard Productions</v>
      </c>
      <c r="H40" t="str">
        <f t="shared" ca="1" si="8"/>
        <v>PEGI-16</v>
      </c>
      <c r="I40" s="6">
        <f t="shared" ca="1" si="9"/>
        <v>57</v>
      </c>
      <c r="J40" t="str">
        <f t="shared" ca="1" si="10"/>
        <v>75 Hours</v>
      </c>
      <c r="K40" t="str">
        <f t="shared" ca="1" si="11"/>
        <v>Gold</v>
      </c>
      <c r="L40" s="7">
        <f t="shared" ca="1" si="17"/>
        <v>80</v>
      </c>
      <c r="M40" s="10">
        <f t="shared" ca="1" si="12"/>
        <v>52</v>
      </c>
      <c r="N40" s="9">
        <f t="shared" ca="1" si="13"/>
        <v>0.35</v>
      </c>
      <c r="O40" s="9">
        <f t="shared" ca="1" si="14"/>
        <v>0.75</v>
      </c>
      <c r="P40">
        <f t="shared" ca="1" si="15"/>
        <v>88</v>
      </c>
      <c r="Q40" t="str">
        <f t="shared" ca="1" si="18"/>
        <v>LOC-HI-N</v>
      </c>
      <c r="U40" t="str">
        <f t="shared" ca="1" si="16"/>
        <v>insert into Orders values ('Ord-015', '29-Mar-2020', 'Prod-006', 'Duty and Control', 'Action', 'Surprisystems', 'Fierce Studios', 'PEGI-3', 63, '19 Hours', 'Gold', 100, 65, 0.35, 0.75, 96, 'GLO-ME-Y');</v>
      </c>
    </row>
    <row r="41" spans="1:21" x14ac:dyDescent="0.25">
      <c r="A41" s="1" t="s">
        <v>4200</v>
      </c>
      <c r="B41" s="11">
        <f t="shared" ca="1" si="2"/>
        <v>44005</v>
      </c>
      <c r="C41" s="3" t="str">
        <f t="shared" ca="1" si="3"/>
        <v>Prod-013</v>
      </c>
      <c r="D41" s="1" t="str">
        <f t="shared" ca="1" si="4"/>
        <v>Monsters of Nightmares</v>
      </c>
      <c r="E41" t="str">
        <f t="shared" ca="1" si="5"/>
        <v>Adventure</v>
      </c>
      <c r="F41" t="str">
        <f t="shared" ca="1" si="6"/>
        <v>Diamond Media</v>
      </c>
      <c r="G41" t="str">
        <f t="shared" ca="1" si="7"/>
        <v>Subdomain Game Studios</v>
      </c>
      <c r="H41" t="str">
        <f t="shared" ca="1" si="8"/>
        <v>PEGI-3</v>
      </c>
      <c r="I41" s="6">
        <f t="shared" ca="1" si="9"/>
        <v>70</v>
      </c>
      <c r="J41" t="str">
        <f t="shared" ca="1" si="10"/>
        <v>79 Hours</v>
      </c>
      <c r="K41" t="str">
        <f t="shared" ca="1" si="11"/>
        <v>Deluxe</v>
      </c>
      <c r="L41" s="7">
        <f t="shared" ca="1" si="17"/>
        <v>70</v>
      </c>
      <c r="M41" s="10">
        <f t="shared" ca="1" si="12"/>
        <v>49</v>
      </c>
      <c r="N41" s="9">
        <f t="shared" ca="1" si="13"/>
        <v>0.3</v>
      </c>
      <c r="O41" s="9">
        <f t="shared" ca="1" si="14"/>
        <v>0.1</v>
      </c>
      <c r="P41">
        <f t="shared" ca="1" si="15"/>
        <v>754</v>
      </c>
      <c r="Q41" t="str">
        <f t="shared" ca="1" si="18"/>
        <v>GLO-ME-Y</v>
      </c>
      <c r="U41" t="str">
        <f t="shared" ca="1" si="16"/>
        <v>insert into Orders values ('Ord-016', '11-Feb-2020', 'Prod-017', 'Madscape', 'Adventure', 'Moondustries', 'Light Crow Games', 'PEGI-16', 92, '41 Hours', 'Deluxe', 50, 35, 0.3, 0.4, 389, 'GLO-ME-N');</v>
      </c>
    </row>
    <row r="42" spans="1:21" x14ac:dyDescent="0.25">
      <c r="A42" s="1" t="s">
        <v>4201</v>
      </c>
      <c r="B42" s="11">
        <f t="shared" ca="1" si="2"/>
        <v>43866</v>
      </c>
      <c r="C42" s="3" t="str">
        <f t="shared" ca="1" si="3"/>
        <v>Prod-019</v>
      </c>
      <c r="D42" s="1" t="str">
        <f t="shared" ca="1" si="4"/>
        <v>Chronorite</v>
      </c>
      <c r="E42" t="str">
        <f t="shared" ca="1" si="5"/>
        <v>Adventure</v>
      </c>
      <c r="F42" t="str">
        <f t="shared" ca="1" si="6"/>
        <v>Surprisystems</v>
      </c>
      <c r="G42" t="str">
        <f t="shared" ca="1" si="7"/>
        <v>Honest Door Entertainment</v>
      </c>
      <c r="H42" t="str">
        <f t="shared" ca="1" si="8"/>
        <v>PEGI-3</v>
      </c>
      <c r="I42" s="6">
        <f t="shared" ca="1" si="9"/>
        <v>60</v>
      </c>
      <c r="J42" t="str">
        <f t="shared" ca="1" si="10"/>
        <v>66 Hours</v>
      </c>
      <c r="K42" t="str">
        <f t="shared" ca="1" si="11"/>
        <v>Deluxe</v>
      </c>
      <c r="L42" s="7">
        <f t="shared" ca="1" si="17"/>
        <v>40</v>
      </c>
      <c r="M42" s="10">
        <f t="shared" ca="1" si="12"/>
        <v>28</v>
      </c>
      <c r="N42" s="9">
        <f t="shared" ca="1" si="13"/>
        <v>0.3</v>
      </c>
      <c r="O42" s="9">
        <f t="shared" ca="1" si="14"/>
        <v>0.1</v>
      </c>
      <c r="P42">
        <f t="shared" ca="1" si="15"/>
        <v>614</v>
      </c>
      <c r="Q42" t="str">
        <f t="shared" ca="1" si="18"/>
        <v>LOC-LO-N</v>
      </c>
      <c r="U42" t="str">
        <f t="shared" ca="1" si="16"/>
        <v>insert into Orders values ('Ord-017', '07-Mar-2020', 'Prod-004', 'Vengeance of Trickery', 'Action', 'Fairyhive', 'Fierce Studios', 'PEGI-12', 76, '23 Hours', 'Collector', 250, 137.5, 0.45, 0, 872, 'GLO-HI-Y');</v>
      </c>
    </row>
    <row r="43" spans="1:21" x14ac:dyDescent="0.25">
      <c r="A43" s="1" t="s">
        <v>4202</v>
      </c>
      <c r="B43" s="11">
        <f t="shared" ca="1" si="2"/>
        <v>44010</v>
      </c>
      <c r="C43" s="3" t="str">
        <f t="shared" ca="1" si="3"/>
        <v>Prod-009</v>
      </c>
      <c r="D43" s="1" t="str">
        <f t="shared" ca="1" si="4"/>
        <v>Everrain</v>
      </c>
      <c r="E43" t="str">
        <f t="shared" ca="1" si="5"/>
        <v>Action</v>
      </c>
      <c r="F43" t="str">
        <f t="shared" ca="1" si="6"/>
        <v>Moondustries</v>
      </c>
      <c r="G43" t="str">
        <f t="shared" ca="1" si="7"/>
        <v>Thunderstorm Studios</v>
      </c>
      <c r="H43" t="str">
        <f t="shared" ca="1" si="8"/>
        <v>PEGI-18</v>
      </c>
      <c r="I43" s="6">
        <f t="shared" ca="1" si="9"/>
        <v>54</v>
      </c>
      <c r="J43" t="str">
        <f t="shared" ca="1" si="10"/>
        <v>63 Hours</v>
      </c>
      <c r="K43" t="str">
        <f t="shared" ca="1" si="11"/>
        <v>Collector</v>
      </c>
      <c r="L43" s="7">
        <f t="shared" ca="1" si="17"/>
        <v>220</v>
      </c>
      <c r="M43" s="10">
        <f t="shared" ca="1" si="12"/>
        <v>121</v>
      </c>
      <c r="N43" s="9">
        <f t="shared" ca="1" si="13"/>
        <v>0.45</v>
      </c>
      <c r="O43" s="9">
        <f t="shared" ca="1" si="14"/>
        <v>0.4</v>
      </c>
      <c r="P43">
        <f t="shared" ca="1" si="15"/>
        <v>353</v>
      </c>
      <c r="Q43" t="str">
        <f t="shared" ca="1" si="18"/>
        <v>GLO-HI-N</v>
      </c>
      <c r="U43" t="str">
        <f t="shared" ca="1" si="16"/>
        <v>insert into Orders values ('Ord-018', '23-Jan-2020', 'Prod-010', 'Antilust', 'Action', 'Surprisystems', 'Scary Lizard Productions', 'PEGI-3', 85, '19 Hours', 'Collector', 160, 88, 0.45, 0.75, 110, 'LOC-ME-N');</v>
      </c>
    </row>
    <row r="44" spans="1:21" x14ac:dyDescent="0.25">
      <c r="A44" s="1" t="s">
        <v>4203</v>
      </c>
      <c r="B44" s="11">
        <f t="shared" ca="1" si="2"/>
        <v>43925</v>
      </c>
      <c r="C44" s="3" t="str">
        <f t="shared" ca="1" si="3"/>
        <v>Prod-028</v>
      </c>
      <c r="D44" s="1" t="str">
        <f t="shared" ca="1" si="4"/>
        <v>Warhunt</v>
      </c>
      <c r="E44" t="str">
        <f t="shared" ca="1" si="5"/>
        <v>RPG</v>
      </c>
      <c r="F44" t="str">
        <f t="shared" ca="1" si="6"/>
        <v>Alphacom</v>
      </c>
      <c r="G44" t="str">
        <f t="shared" ca="1" si="7"/>
        <v>Golden Boa Interactive</v>
      </c>
      <c r="H44" t="str">
        <f t="shared" ca="1" si="8"/>
        <v>PEGI-3</v>
      </c>
      <c r="I44" s="6">
        <f t="shared" ca="1" si="9"/>
        <v>76</v>
      </c>
      <c r="J44" t="str">
        <f t="shared" ca="1" si="10"/>
        <v>10 Hours</v>
      </c>
      <c r="K44" t="str">
        <f t="shared" ca="1" si="11"/>
        <v>Standard</v>
      </c>
      <c r="L44" s="7">
        <f t="shared" ca="1" si="17"/>
        <v>60</v>
      </c>
      <c r="M44" s="10">
        <f t="shared" ca="1" si="12"/>
        <v>48</v>
      </c>
      <c r="N44" s="9">
        <f t="shared" ca="1" si="13"/>
        <v>0.2</v>
      </c>
      <c r="O44" s="9">
        <f t="shared" ca="1" si="14"/>
        <v>0.75</v>
      </c>
      <c r="P44">
        <f t="shared" ca="1" si="15"/>
        <v>110</v>
      </c>
      <c r="Q44" t="str">
        <f t="shared" ca="1" si="18"/>
        <v>LOC-LO-N</v>
      </c>
      <c r="U44" t="str">
        <f t="shared" ca="1" si="16"/>
        <v>insert into Orders values ('Ord-019', '25-Jun-2020', 'Prod-039', 'Ashcommand', 'Strategy', 'Lionshine', 'Dapper Bull Media', 'PEGI-12', 80, '8 Hours', 'Gold', 100, 65, 0.35, 0.75, 123, 'GLO-LO-N');</v>
      </c>
    </row>
    <row r="45" spans="1:21" x14ac:dyDescent="0.25">
      <c r="A45" s="1" t="s">
        <v>4204</v>
      </c>
      <c r="B45" s="11">
        <f t="shared" ca="1" si="2"/>
        <v>43931</v>
      </c>
      <c r="C45" s="3" t="str">
        <f t="shared" ca="1" si="3"/>
        <v>Prod-023</v>
      </c>
      <c r="D45" s="1" t="str">
        <f t="shared" ca="1" si="4"/>
        <v>Magic of Mythology</v>
      </c>
      <c r="E45" t="str">
        <f t="shared" ca="1" si="5"/>
        <v>RPG</v>
      </c>
      <c r="F45" t="str">
        <f t="shared" ca="1" si="6"/>
        <v>Moondustries</v>
      </c>
      <c r="G45" t="str">
        <f t="shared" ca="1" si="7"/>
        <v>Dumb Luck Entertainment</v>
      </c>
      <c r="H45" t="str">
        <f t="shared" ca="1" si="8"/>
        <v>PEGI-7</v>
      </c>
      <c r="I45" s="6">
        <f t="shared" ca="1" si="9"/>
        <v>69</v>
      </c>
      <c r="J45" t="str">
        <f t="shared" ca="1" si="10"/>
        <v>70 Hours</v>
      </c>
      <c r="K45" t="str">
        <f t="shared" ca="1" si="11"/>
        <v>Gold</v>
      </c>
      <c r="L45" s="7">
        <f t="shared" ca="1" si="17"/>
        <v>110</v>
      </c>
      <c r="M45" s="10">
        <f t="shared" ca="1" si="12"/>
        <v>71.5</v>
      </c>
      <c r="N45" s="9">
        <f t="shared" ca="1" si="13"/>
        <v>0.35</v>
      </c>
      <c r="O45" s="9">
        <f t="shared" ca="1" si="14"/>
        <v>0.4</v>
      </c>
      <c r="P45">
        <f t="shared" ca="1" si="15"/>
        <v>302</v>
      </c>
      <c r="Q45" t="str">
        <f t="shared" ca="1" si="18"/>
        <v>GLO-LO-N</v>
      </c>
      <c r="U45" t="str">
        <f t="shared" ca="1" si="16"/>
        <v>insert into Orders values ('Ord-020', '14-Feb-2020', 'Prod-028', 'Warhunt', 'RPG', 'Fairyhive', 'Golden Boa Interactive', 'PEGI-16', 58, '45 Hours', 'Standard', 20, 16, 0.2, 0, 846, 'LOC-HI-Y');</v>
      </c>
    </row>
    <row r="46" spans="1:21" x14ac:dyDescent="0.25">
      <c r="A46" s="1" t="s">
        <v>4205</v>
      </c>
      <c r="B46" s="11">
        <f t="shared" ca="1" si="2"/>
        <v>43878</v>
      </c>
      <c r="C46" s="3" t="str">
        <f t="shared" ca="1" si="3"/>
        <v>Prod-009</v>
      </c>
      <c r="D46" s="1" t="str">
        <f t="shared" ca="1" si="4"/>
        <v>Everrain</v>
      </c>
      <c r="E46" t="str">
        <f t="shared" ca="1" si="5"/>
        <v>Action</v>
      </c>
      <c r="F46" t="str">
        <f t="shared" ca="1" si="6"/>
        <v>Heartpoint</v>
      </c>
      <c r="G46" t="str">
        <f t="shared" ca="1" si="7"/>
        <v>Vagabond Interactive</v>
      </c>
      <c r="H46" t="str">
        <f t="shared" ca="1" si="8"/>
        <v>PEGI-16</v>
      </c>
      <c r="I46" s="6">
        <f t="shared" ca="1" si="9"/>
        <v>54</v>
      </c>
      <c r="J46" t="str">
        <f t="shared" ca="1" si="10"/>
        <v>14 Hours</v>
      </c>
      <c r="K46" t="str">
        <f t="shared" ca="1" si="11"/>
        <v>Deluxe</v>
      </c>
      <c r="L46" s="7">
        <f t="shared" ca="1" si="17"/>
        <v>80</v>
      </c>
      <c r="M46" s="10">
        <f t="shared" ca="1" si="12"/>
        <v>56</v>
      </c>
      <c r="N46" s="9">
        <f t="shared" ca="1" si="13"/>
        <v>0.3</v>
      </c>
      <c r="O46" s="9">
        <f t="shared" ca="1" si="14"/>
        <v>0.75</v>
      </c>
      <c r="P46">
        <f t="shared" ca="1" si="15"/>
        <v>48</v>
      </c>
      <c r="Q46" t="str">
        <f t="shared" ca="1" si="18"/>
        <v>GLO-LO-N</v>
      </c>
      <c r="U46" t="str">
        <f t="shared" ca="1" si="16"/>
        <v>insert into Orders values ('Ord-021', '21-Jan-2020', 'Prod-033', 'Warlords of Turmoil', 'Strategy', 'Lionshine', 'Pretty Mage Arts', 'PEGI-7', 60, '41 Hours', 'Standard', 40, 32, 0.2, 0.4, 564, 'LOC-ME-N');</v>
      </c>
    </row>
    <row r="47" spans="1:21" x14ac:dyDescent="0.25">
      <c r="A47" s="1" t="s">
        <v>4206</v>
      </c>
      <c r="B47" s="11">
        <f t="shared" ca="1" si="2"/>
        <v>43849</v>
      </c>
      <c r="C47" s="3" t="str">
        <f t="shared" ca="1" si="3"/>
        <v>Prod-008</v>
      </c>
      <c r="D47" s="1" t="str">
        <f t="shared" ca="1" si="4"/>
        <v>Blueborne</v>
      </c>
      <c r="E47" t="str">
        <f t="shared" ca="1" si="5"/>
        <v>Action</v>
      </c>
      <c r="F47" t="str">
        <f t="shared" ca="1" si="6"/>
        <v>Moondustries</v>
      </c>
      <c r="G47" t="str">
        <f t="shared" ca="1" si="7"/>
        <v>Vagabond Interactive</v>
      </c>
      <c r="H47" t="str">
        <f t="shared" ca="1" si="8"/>
        <v>PEGI-3</v>
      </c>
      <c r="I47" s="6">
        <f t="shared" ca="1" si="9"/>
        <v>52</v>
      </c>
      <c r="J47" t="str">
        <f t="shared" ca="1" si="10"/>
        <v>41 Hours</v>
      </c>
      <c r="K47" t="str">
        <f t="shared" ca="1" si="11"/>
        <v>Gold</v>
      </c>
      <c r="L47" s="7">
        <f t="shared" ca="1" si="17"/>
        <v>100</v>
      </c>
      <c r="M47" s="10">
        <f t="shared" ca="1" si="12"/>
        <v>65</v>
      </c>
      <c r="N47" s="9">
        <f t="shared" ca="1" si="13"/>
        <v>0.35</v>
      </c>
      <c r="O47" s="9">
        <f t="shared" ca="1" si="14"/>
        <v>0.4</v>
      </c>
      <c r="P47">
        <f t="shared" ca="1" si="15"/>
        <v>320</v>
      </c>
      <c r="Q47" t="str">
        <f t="shared" ca="1" si="18"/>
        <v>GLO-ME-N</v>
      </c>
      <c r="U47" t="str">
        <f t="shared" ca="1" si="16"/>
        <v>insert into Orders values ('Ord-022', '13-May-2020', 'Prod-025', 'Enemy and Demons', 'RPG', 'Fairyhive', 'Light Crow Games', 'PEGI-3', 98, '30 Hours', 'Collector', 300, 165, 0.45, 0, 992, 'GLO-LO-N');</v>
      </c>
    </row>
    <row r="48" spans="1:21" x14ac:dyDescent="0.25">
      <c r="A48" s="1" t="s">
        <v>4207</v>
      </c>
      <c r="B48" s="11">
        <f t="shared" ca="1" si="2"/>
        <v>43927</v>
      </c>
      <c r="C48" s="3" t="str">
        <f t="shared" ca="1" si="3"/>
        <v>Prod-020</v>
      </c>
      <c r="D48" s="1" t="str">
        <f t="shared" ca="1" si="4"/>
        <v>Emberville</v>
      </c>
      <c r="E48" t="str">
        <f t="shared" ca="1" si="5"/>
        <v>Adventure</v>
      </c>
      <c r="F48" t="str">
        <f t="shared" ca="1" si="6"/>
        <v>Heartpoint</v>
      </c>
      <c r="G48" t="str">
        <f t="shared" ca="1" si="7"/>
        <v>Golden Boa Interactive</v>
      </c>
      <c r="H48" t="str">
        <f t="shared" ca="1" si="8"/>
        <v>PEGI-7</v>
      </c>
      <c r="I48" s="6">
        <f t="shared" ca="1" si="9"/>
        <v>72</v>
      </c>
      <c r="J48" t="str">
        <f t="shared" ca="1" si="10"/>
        <v>11 Hours</v>
      </c>
      <c r="K48" t="str">
        <f t="shared" ca="1" si="11"/>
        <v>Standard</v>
      </c>
      <c r="L48" s="7">
        <f t="shared" ca="1" si="17"/>
        <v>60</v>
      </c>
      <c r="M48" s="10">
        <f t="shared" ca="1" si="12"/>
        <v>48</v>
      </c>
      <c r="N48" s="9">
        <f t="shared" ca="1" si="13"/>
        <v>0.2</v>
      </c>
      <c r="O48" s="9">
        <f t="shared" ca="1" si="14"/>
        <v>0.1</v>
      </c>
      <c r="P48">
        <f t="shared" ca="1" si="15"/>
        <v>678</v>
      </c>
      <c r="Q48" t="str">
        <f t="shared" ca="1" si="18"/>
        <v>GLO-HI-N</v>
      </c>
      <c r="U48" t="str">
        <f t="shared" ca="1" si="16"/>
        <v>insert into Orders values ('Ord-023', '20-Jan-2020', 'Prod-032', 'Blood Cataclysm', 'Strategy', 'Surprisystems', 'Scary Lizard Productions', 'PEGI-3', 83, '10 Hours', 'Deluxe', 50, 35, 0.3, 0.4, 553, 'LOC-HI-Y');</v>
      </c>
    </row>
    <row r="49" spans="1:21" x14ac:dyDescent="0.25">
      <c r="A49" s="1" t="s">
        <v>4208</v>
      </c>
      <c r="B49" s="11">
        <f t="shared" ca="1" si="2"/>
        <v>43987</v>
      </c>
      <c r="C49" s="3" t="str">
        <f t="shared" ca="1" si="3"/>
        <v>Prod-001</v>
      </c>
      <c r="D49" s="1" t="str">
        <f t="shared" ca="1" si="4"/>
        <v>Red Omen</v>
      </c>
      <c r="E49" t="str">
        <f t="shared" ca="1" si="5"/>
        <v>Action</v>
      </c>
      <c r="F49" t="str">
        <f t="shared" ca="1" si="6"/>
        <v>Surprisystems</v>
      </c>
      <c r="G49" t="str">
        <f t="shared" ca="1" si="7"/>
        <v>Numb Kitten Productions</v>
      </c>
      <c r="H49" t="str">
        <f t="shared" ca="1" si="8"/>
        <v>PEGI-7</v>
      </c>
      <c r="I49" s="6">
        <f t="shared" ca="1" si="9"/>
        <v>51</v>
      </c>
      <c r="J49" t="str">
        <f t="shared" ca="1" si="10"/>
        <v>57 Hours</v>
      </c>
      <c r="K49" t="str">
        <f t="shared" ca="1" si="11"/>
        <v>Standard</v>
      </c>
      <c r="L49" s="7">
        <f t="shared" ca="1" si="17"/>
        <v>50</v>
      </c>
      <c r="M49" s="10">
        <f t="shared" ca="1" si="12"/>
        <v>40</v>
      </c>
      <c r="N49" s="9">
        <f t="shared" ca="1" si="13"/>
        <v>0.2</v>
      </c>
      <c r="O49" s="9">
        <f t="shared" ca="1" si="14"/>
        <v>0.75</v>
      </c>
      <c r="P49">
        <f t="shared" ca="1" si="15"/>
        <v>249</v>
      </c>
      <c r="Q49" t="str">
        <f t="shared" ca="1" si="18"/>
        <v>GLO-HI-Y</v>
      </c>
      <c r="U49" t="str">
        <f t="shared" ca="1" si="16"/>
        <v>insert into Orders values ('Ord-024', '18-Mar-2020', 'Prod-031', 'Android Dynasty', 'Strategy', 'Alphacom', 'Rare Spectre Arts', 'PEGI-16', 95, '6 Hours', 'Gold', 110, 71.5, 0.35, 0.1, 726, 'GLO-LO-Y');</v>
      </c>
    </row>
    <row r="50" spans="1:21" x14ac:dyDescent="0.25">
      <c r="A50" s="1" t="s">
        <v>4209</v>
      </c>
      <c r="B50" s="11">
        <f t="shared" ca="1" si="2"/>
        <v>43983</v>
      </c>
      <c r="C50" s="3" t="str">
        <f t="shared" ca="1" si="3"/>
        <v>Prod-014</v>
      </c>
      <c r="D50" s="1" t="str">
        <f t="shared" ca="1" si="4"/>
        <v>Wizards of Sorrow</v>
      </c>
      <c r="E50" t="str">
        <f t="shared" ca="1" si="5"/>
        <v>Adventure</v>
      </c>
      <c r="F50" t="str">
        <f t="shared" ca="1" si="6"/>
        <v>Crypticorps</v>
      </c>
      <c r="G50" t="str">
        <f t="shared" ca="1" si="7"/>
        <v>Rare Spectre Arts</v>
      </c>
      <c r="H50" t="str">
        <f t="shared" ca="1" si="8"/>
        <v>PEGI-3</v>
      </c>
      <c r="I50" s="6">
        <f t="shared" ca="1" si="9"/>
        <v>58</v>
      </c>
      <c r="J50" t="str">
        <f t="shared" ca="1" si="10"/>
        <v>38 Hours</v>
      </c>
      <c r="K50" t="str">
        <f t="shared" ca="1" si="11"/>
        <v>Collector</v>
      </c>
      <c r="L50" s="7">
        <f t="shared" ca="1" si="17"/>
        <v>180</v>
      </c>
      <c r="M50" s="10">
        <f t="shared" ca="1" si="12"/>
        <v>99</v>
      </c>
      <c r="N50" s="9">
        <f t="shared" ca="1" si="13"/>
        <v>0.45</v>
      </c>
      <c r="O50" s="9">
        <f t="shared" ca="1" si="14"/>
        <v>0.75</v>
      </c>
      <c r="P50">
        <f t="shared" ca="1" si="15"/>
        <v>178</v>
      </c>
      <c r="Q50" t="str">
        <f t="shared" ca="1" si="18"/>
        <v>LOC-ME-N</v>
      </c>
      <c r="U50" t="str">
        <f t="shared" ca="1" si="16"/>
        <v>insert into Orders values ('Ord-025', '16-Feb-2020', 'Prod-015', 'Hand and Chronicles', 'Adventure', 'Fairyhive', 'Thunderjam Interactive', 'PEGI-3', 89, '3 Hours', 'Standard', 60, 48, 0.2, 0.1, 660, 'GLO-HI-N');</v>
      </c>
    </row>
    <row r="51" spans="1:21" x14ac:dyDescent="0.25">
      <c r="A51" s="1" t="s">
        <v>4210</v>
      </c>
      <c r="B51" s="11">
        <f t="shared" ca="1" si="2"/>
        <v>43898</v>
      </c>
      <c r="C51" s="3" t="str">
        <f t="shared" ca="1" si="3"/>
        <v>Prod-007</v>
      </c>
      <c r="D51" s="1" t="str">
        <f t="shared" ca="1" si="4"/>
        <v>Farforce</v>
      </c>
      <c r="E51" t="str">
        <f t="shared" ca="1" si="5"/>
        <v>Action</v>
      </c>
      <c r="F51" t="str">
        <f t="shared" ca="1" si="6"/>
        <v>Crypticorps</v>
      </c>
      <c r="G51" t="str">
        <f t="shared" ca="1" si="7"/>
        <v>Honest Door Entertainment</v>
      </c>
      <c r="H51" t="str">
        <f t="shared" ca="1" si="8"/>
        <v>PEGI-7</v>
      </c>
      <c r="I51" s="6">
        <f t="shared" ca="1" si="9"/>
        <v>61</v>
      </c>
      <c r="J51" t="str">
        <f t="shared" ca="1" si="10"/>
        <v>75 Hours</v>
      </c>
      <c r="K51" t="str">
        <f t="shared" ca="1" si="11"/>
        <v>Gold</v>
      </c>
      <c r="L51" s="7">
        <f t="shared" ca="1" si="17"/>
        <v>110</v>
      </c>
      <c r="M51" s="10">
        <f t="shared" ca="1" si="12"/>
        <v>71.5</v>
      </c>
      <c r="N51" s="9">
        <f t="shared" ca="1" si="13"/>
        <v>0.35</v>
      </c>
      <c r="O51" s="9">
        <f t="shared" ca="1" si="14"/>
        <v>0.75</v>
      </c>
      <c r="P51">
        <f t="shared" ca="1" si="15"/>
        <v>269</v>
      </c>
      <c r="Q51" t="str">
        <f t="shared" ca="1" si="18"/>
        <v>GLO-LO-Y</v>
      </c>
      <c r="U51" t="str">
        <f t="shared" ca="1" si="16"/>
        <v>insert into Orders values ('Ord-026', '06-Jun-2020', 'Prod-008', 'Blueborne', 'Action', 'Alphacom', 'Subdomain Game Studios', 'PEGI-7', 92, '23 Hours', 'Gold', 90, 58.5, 0.35, 0.4, 533, 'LOC-LO-Y');</v>
      </c>
    </row>
    <row r="52" spans="1:21" x14ac:dyDescent="0.25">
      <c r="A52" s="1" t="s">
        <v>4256</v>
      </c>
      <c r="B52" s="11">
        <f t="shared" ca="1" si="2"/>
        <v>43941</v>
      </c>
      <c r="C52" s="3" t="str">
        <f t="shared" ca="1" si="3"/>
        <v>Prod-037</v>
      </c>
      <c r="D52" s="1" t="str">
        <f t="shared" ca="1" si="4"/>
        <v>Phantomland</v>
      </c>
      <c r="E52" t="str">
        <f t="shared" ref="E52:E101" ca="1" si="19">IF(AND(_xlfn.NUMBERVALUE(RIGHT(C52,2))&gt;0,_xlfn.NUMBERVALUE(RIGHT(C52,2))&lt;=10),$V$1,IF(AND(_xlfn.NUMBERVALUE(RIGHT(C52,2))&gt;10,_xlfn.NUMBERVALUE(RIGHT(C52,2))&lt;=20),$W$1,IF(AND(_xlfn.NUMBERVALUE(RIGHT(C52,2))&gt;20,_xlfn.NUMBERVALUE(RIGHT(C52,2))&lt;=30),$V$13,$W$13)))</f>
        <v>Strategy</v>
      </c>
      <c r="F52" t="str">
        <f t="shared" ca="1" si="6"/>
        <v>Fairyhive</v>
      </c>
      <c r="G52" t="str">
        <f t="shared" ca="1" si="7"/>
        <v>Filthy Door Interactive</v>
      </c>
      <c r="H52" t="str">
        <f t="shared" ca="1" si="8"/>
        <v>PEGI-12</v>
      </c>
      <c r="I52" s="6">
        <f t="shared" ca="1" si="9"/>
        <v>60</v>
      </c>
      <c r="J52" t="str">
        <f t="shared" ca="1" si="10"/>
        <v>53 Hours</v>
      </c>
      <c r="K52" t="str">
        <f t="shared" ca="1" si="11"/>
        <v>Collector</v>
      </c>
      <c r="L52" s="7">
        <f t="shared" ca="1" si="17"/>
        <v>200</v>
      </c>
      <c r="M52" s="10">
        <f t="shared" ca="1" si="12"/>
        <v>110</v>
      </c>
      <c r="N52" s="9">
        <f t="shared" ref="N52:N101" ca="1" si="20">IF(K52 =$Y$13,0.2, IF(K52 =$Y$14, 0.3,IF(K52 =$Y$15,0.35,IF(K52 =$Y$16,0.45))))</f>
        <v>0.45</v>
      </c>
      <c r="O52" s="9">
        <f t="shared" ca="1" si="14"/>
        <v>0.75</v>
      </c>
      <c r="P52">
        <f t="shared" ca="1" si="15"/>
        <v>180</v>
      </c>
      <c r="Q52" t="str">
        <f t="shared" ca="1" si="18"/>
        <v>LOC-HI-Y</v>
      </c>
      <c r="U52" t="str">
        <f t="shared" ca="1" si="16"/>
        <v>insert into Orders values ('Ord-027', '28-Apr-2020', 'Prod-027', 'Shardforce', 'RPG', 'Fairyhive', 'Scary Lizard Productions', 'PEGI-12', 65, '45 Hours', 'Deluxe', 50, 35, 0.3, 0.4, 325, 'LOC-HI-Y');</v>
      </c>
    </row>
    <row r="53" spans="1:21" x14ac:dyDescent="0.25">
      <c r="A53" s="1" t="s">
        <v>4257</v>
      </c>
      <c r="B53" s="11">
        <f t="shared" ca="1" si="2"/>
        <v>43863</v>
      </c>
      <c r="C53" s="3" t="str">
        <f t="shared" ca="1" si="3"/>
        <v>Prod-021</v>
      </c>
      <c r="D53" s="1" t="str">
        <f t="shared" ca="1" si="4"/>
        <v>Infernal Faction</v>
      </c>
      <c r="E53" t="str">
        <f t="shared" ca="1" si="19"/>
        <v>RPG</v>
      </c>
      <c r="F53" t="str">
        <f t="shared" ca="1" si="6"/>
        <v>Fairyhive</v>
      </c>
      <c r="G53" t="str">
        <f t="shared" ca="1" si="7"/>
        <v>Light Crow Games</v>
      </c>
      <c r="H53" t="str">
        <f t="shared" ca="1" si="8"/>
        <v>PEGI-7</v>
      </c>
      <c r="I53" s="6">
        <f t="shared" ca="1" si="9"/>
        <v>74</v>
      </c>
      <c r="J53" t="str">
        <f t="shared" ca="1" si="10"/>
        <v>39 Hours</v>
      </c>
      <c r="K53" t="str">
        <f t="shared" ca="1" si="11"/>
        <v>Deluxe</v>
      </c>
      <c r="L53" s="7">
        <f t="shared" ca="1" si="17"/>
        <v>80</v>
      </c>
      <c r="M53" s="10">
        <f t="shared" ca="1" si="12"/>
        <v>56</v>
      </c>
      <c r="N53" s="9">
        <f t="shared" ca="1" si="20"/>
        <v>0.3</v>
      </c>
      <c r="O53" s="9">
        <f t="shared" ca="1" si="14"/>
        <v>0</v>
      </c>
      <c r="P53">
        <f t="shared" ca="1" si="15"/>
        <v>838</v>
      </c>
      <c r="Q53" t="str">
        <f t="shared" ca="1" si="18"/>
        <v>LOC-HI-N</v>
      </c>
      <c r="U53" t="str">
        <f t="shared" ca="1" si="16"/>
        <v>insert into Orders values ('Ord-028', '11-Jan-2020', 'Prod-034', 'Titans of Pain', 'Strategy', 'Moondustries', 'Numb Kitten Productions', 'PEGI-12', 87, '13 Hours', 'Collector', 140, 77, 0.45, 0.4, 535, 'GLO-LO-N');</v>
      </c>
    </row>
    <row r="54" spans="1:21" x14ac:dyDescent="0.25">
      <c r="A54" s="1" t="s">
        <v>4258</v>
      </c>
      <c r="B54" s="11">
        <f t="shared" ca="1" si="2"/>
        <v>43876</v>
      </c>
      <c r="C54" s="3" t="str">
        <f t="shared" ca="1" si="3"/>
        <v>Prod-019</v>
      </c>
      <c r="D54" s="1" t="str">
        <f t="shared" ca="1" si="4"/>
        <v>Chronorite</v>
      </c>
      <c r="E54" t="str">
        <f t="shared" ca="1" si="19"/>
        <v>Adventure</v>
      </c>
      <c r="F54" t="str">
        <f t="shared" ca="1" si="6"/>
        <v>Moondustries</v>
      </c>
      <c r="G54" t="str">
        <f t="shared" ca="1" si="7"/>
        <v>Rare Spectre Arts</v>
      </c>
      <c r="H54" t="str">
        <f t="shared" ca="1" si="8"/>
        <v>PEGI-12</v>
      </c>
      <c r="I54" s="6">
        <f t="shared" ca="1" si="9"/>
        <v>64</v>
      </c>
      <c r="J54" t="str">
        <f t="shared" ca="1" si="10"/>
        <v>57 Hours</v>
      </c>
      <c r="K54" t="str">
        <f t="shared" ca="1" si="11"/>
        <v>Gold</v>
      </c>
      <c r="L54" s="7">
        <f t="shared" ca="1" si="17"/>
        <v>110</v>
      </c>
      <c r="M54" s="10">
        <f t="shared" ca="1" si="12"/>
        <v>71.5</v>
      </c>
      <c r="N54" s="9">
        <f t="shared" ca="1" si="20"/>
        <v>0.35</v>
      </c>
      <c r="O54" s="9">
        <f t="shared" ca="1" si="14"/>
        <v>0.75</v>
      </c>
      <c r="P54">
        <f t="shared" ca="1" si="15"/>
        <v>101</v>
      </c>
      <c r="Q54" t="str">
        <f t="shared" ca="1" si="18"/>
        <v>GLO-ME-Y</v>
      </c>
      <c r="U54" t="str">
        <f t="shared" ca="1" si="16"/>
        <v>insert into Orders values ('Ord-029', '19-Jun-2020', 'Prod-002', 'Titan Carnage', 'Action', 'Diamond Media', 'Dumb Luck Entertainment', 'PEGI-3', 95, '70 Hours', 'Collector', 100, 55, 0.45, 0.75, 69, 'GLO-LO-Y');</v>
      </c>
    </row>
    <row r="55" spans="1:21" x14ac:dyDescent="0.25">
      <c r="A55" s="1" t="s">
        <v>4259</v>
      </c>
      <c r="B55" s="11">
        <f t="shared" ca="1" si="2"/>
        <v>43899</v>
      </c>
      <c r="C55" s="3" t="str">
        <f t="shared" ca="1" si="3"/>
        <v>Prod-007</v>
      </c>
      <c r="D55" s="1" t="str">
        <f t="shared" ca="1" si="4"/>
        <v>Farforce</v>
      </c>
      <c r="E55" t="str">
        <f t="shared" ca="1" si="19"/>
        <v>Action</v>
      </c>
      <c r="F55" t="str">
        <f t="shared" ca="1" si="6"/>
        <v>Diamond Media</v>
      </c>
      <c r="G55" t="str">
        <f t="shared" ca="1" si="7"/>
        <v>Autotale Arts</v>
      </c>
      <c r="H55" t="str">
        <f t="shared" ca="1" si="8"/>
        <v>PEGI-12</v>
      </c>
      <c r="I55" s="6">
        <f t="shared" ca="1" si="9"/>
        <v>64</v>
      </c>
      <c r="J55" t="str">
        <f t="shared" ca="1" si="10"/>
        <v>77 Hours</v>
      </c>
      <c r="K55" t="str">
        <f t="shared" ca="1" si="11"/>
        <v>Gold</v>
      </c>
      <c r="L55" s="7">
        <f t="shared" ca="1" si="17"/>
        <v>100</v>
      </c>
      <c r="M55" s="10">
        <f t="shared" ca="1" si="12"/>
        <v>65</v>
      </c>
      <c r="N55" s="9">
        <f t="shared" ca="1" si="20"/>
        <v>0.35</v>
      </c>
      <c r="O55" s="9">
        <f t="shared" ca="1" si="14"/>
        <v>0.4</v>
      </c>
      <c r="P55">
        <f t="shared" ca="1" si="15"/>
        <v>330</v>
      </c>
      <c r="Q55" t="str">
        <f t="shared" ca="1" si="18"/>
        <v>GLO-ME-N</v>
      </c>
      <c r="U55" t="str">
        <f t="shared" ca="1" si="16"/>
        <v>insert into Orders values ('Ord-030', '17-Mar-2020', 'Prod-030', 'Arcanepath', 'RPG', 'Cliff Acoustics', 'Light Crow Games', 'PEGI-16', 59, '17 Hours', 'Standard', 50, 40, 0.2, 0, 919, 'LOC-HI-N');</v>
      </c>
    </row>
    <row r="56" spans="1:21" x14ac:dyDescent="0.25">
      <c r="A56" s="1" t="s">
        <v>4260</v>
      </c>
      <c r="B56" s="11">
        <f t="shared" ca="1" si="2"/>
        <v>43885</v>
      </c>
      <c r="C56" s="3" t="str">
        <f t="shared" ca="1" si="3"/>
        <v>Prod-015</v>
      </c>
      <c r="D56" s="1" t="str">
        <f t="shared" ca="1" si="4"/>
        <v>Hand and Chronicles</v>
      </c>
      <c r="E56" t="str">
        <f t="shared" ca="1" si="19"/>
        <v>Adventure</v>
      </c>
      <c r="F56" t="str">
        <f t="shared" ca="1" si="6"/>
        <v>Crypticorps</v>
      </c>
      <c r="G56" t="str">
        <f t="shared" ca="1" si="7"/>
        <v>Fierce Studios</v>
      </c>
      <c r="H56" t="str">
        <f t="shared" ca="1" si="8"/>
        <v>PEGI-18</v>
      </c>
      <c r="I56" s="6">
        <f t="shared" ca="1" si="9"/>
        <v>95</v>
      </c>
      <c r="J56" t="str">
        <f t="shared" ca="1" si="10"/>
        <v>77 Hours</v>
      </c>
      <c r="K56" t="str">
        <f t="shared" ca="1" si="11"/>
        <v>Gold</v>
      </c>
      <c r="L56" s="7">
        <f t="shared" ca="1" si="17"/>
        <v>100</v>
      </c>
      <c r="M56" s="10">
        <f t="shared" ca="1" si="12"/>
        <v>65</v>
      </c>
      <c r="N56" s="9">
        <f t="shared" ca="1" si="20"/>
        <v>0.35</v>
      </c>
      <c r="O56" s="9">
        <f t="shared" ca="1" si="14"/>
        <v>0.1</v>
      </c>
      <c r="P56">
        <f t="shared" ca="1" si="15"/>
        <v>634</v>
      </c>
      <c r="Q56" t="str">
        <f t="shared" ca="1" si="18"/>
        <v>LOC-HI-N</v>
      </c>
      <c r="U56" t="str">
        <f t="shared" ca="1" si="16"/>
        <v>insert into Orders values ('Ord-031', '23-Jun-2020', 'Prod-033', 'Warlords of Turmoil', 'Strategy', 'Alphacom', 'Subdomain Game Studios', 'PEGI-7', 78, '46 Hours', 'Gold', 70, 45.5, 0.35, 0, 823, 'GLO-ME-Y');</v>
      </c>
    </row>
    <row r="57" spans="1:21" x14ac:dyDescent="0.25">
      <c r="A57" s="1" t="s">
        <v>4261</v>
      </c>
      <c r="B57" s="11">
        <f t="shared" ca="1" si="2"/>
        <v>43844</v>
      </c>
      <c r="C57" s="3" t="str">
        <f t="shared" ca="1" si="3"/>
        <v>Prod-024</v>
      </c>
      <c r="D57" s="1" t="str">
        <f t="shared" ca="1" si="4"/>
        <v>Spirits of Heritage</v>
      </c>
      <c r="E57" t="str">
        <f t="shared" ca="1" si="19"/>
        <v>RPG</v>
      </c>
      <c r="F57" t="str">
        <f t="shared" ca="1" si="6"/>
        <v>Cliff Acoustics</v>
      </c>
      <c r="G57" t="str">
        <f t="shared" ca="1" si="7"/>
        <v>Subdomain Game Studios</v>
      </c>
      <c r="H57" t="str">
        <f t="shared" ca="1" si="8"/>
        <v>PEGI-16</v>
      </c>
      <c r="I57" s="6">
        <f t="shared" ca="1" si="9"/>
        <v>67</v>
      </c>
      <c r="J57" t="str">
        <f t="shared" ca="1" si="10"/>
        <v>10 Hours</v>
      </c>
      <c r="K57" t="str">
        <f t="shared" ca="1" si="11"/>
        <v>Deluxe</v>
      </c>
      <c r="L57" s="7">
        <f t="shared" ca="1" si="17"/>
        <v>50</v>
      </c>
      <c r="M57" s="10">
        <f t="shared" ca="1" si="12"/>
        <v>35</v>
      </c>
      <c r="N57" s="9">
        <f t="shared" ca="1" si="20"/>
        <v>0.3</v>
      </c>
      <c r="O57" s="9">
        <f t="shared" ca="1" si="14"/>
        <v>0.4</v>
      </c>
      <c r="P57">
        <f t="shared" ca="1" si="15"/>
        <v>567</v>
      </c>
      <c r="Q57" t="str">
        <f t="shared" ca="1" si="18"/>
        <v>LOC-LO-N</v>
      </c>
      <c r="U57" t="str">
        <f t="shared" ca="1" si="16"/>
        <v>insert into Orders values ('Ord-032', '14-Jun-2020', 'Prod-034', 'Titans of Pain', 'Strategy', 'Diamond Media', 'Dapper Bull Media', 'PEGI-7', 79, '62 Hours', 'Deluxe', 70, 49, 0.3, 0.1, 757, 'LOC-ME-N');</v>
      </c>
    </row>
    <row r="58" spans="1:21" x14ac:dyDescent="0.25">
      <c r="A58" s="1" t="s">
        <v>4262</v>
      </c>
      <c r="B58" s="11">
        <f t="shared" ca="1" si="2"/>
        <v>43852</v>
      </c>
      <c r="C58" s="3" t="str">
        <f t="shared" ca="1" si="3"/>
        <v>Prod-010</v>
      </c>
      <c r="D58" s="1" t="str">
        <f t="shared" ca="1" si="4"/>
        <v>Antilust</v>
      </c>
      <c r="E58" t="str">
        <f t="shared" ca="1" si="19"/>
        <v>Action</v>
      </c>
      <c r="F58" t="str">
        <f t="shared" ca="1" si="6"/>
        <v>Crypticorps</v>
      </c>
      <c r="G58" t="str">
        <f t="shared" ca="1" si="7"/>
        <v>Thunderjam Interactive</v>
      </c>
      <c r="H58" t="str">
        <f t="shared" ca="1" si="8"/>
        <v>PEGI-7</v>
      </c>
      <c r="I58" s="6">
        <f t="shared" ca="1" si="9"/>
        <v>95</v>
      </c>
      <c r="J58" t="str">
        <f t="shared" ca="1" si="10"/>
        <v>8 Hours</v>
      </c>
      <c r="K58" t="str">
        <f t="shared" ca="1" si="11"/>
        <v>Standard</v>
      </c>
      <c r="L58" s="7">
        <f t="shared" ca="1" si="17"/>
        <v>30</v>
      </c>
      <c r="M58" s="10">
        <f t="shared" ca="1" si="12"/>
        <v>24</v>
      </c>
      <c r="N58" s="9">
        <f t="shared" ca="1" si="20"/>
        <v>0.2</v>
      </c>
      <c r="O58" s="9">
        <f t="shared" ca="1" si="14"/>
        <v>0.75</v>
      </c>
      <c r="P58">
        <f t="shared" ca="1" si="15"/>
        <v>286</v>
      </c>
      <c r="Q58" t="str">
        <f t="shared" ca="1" si="18"/>
        <v>LOC-HI-Y</v>
      </c>
      <c r="U58" t="str">
        <f t="shared" ca="1" si="16"/>
        <v>insert into Orders values ('Ord-033', '11-Feb-2020', 'Prod-028', 'Warhunt', 'RPG', 'Cliff Acoustics', 'Scary Lizard Productions', 'PEGI-3', 60, '33 Hours', 'Deluxe', 40, 28, 0.3, 0.4, 517, 'LOC-HI-Y');</v>
      </c>
    </row>
    <row r="59" spans="1:21" x14ac:dyDescent="0.25">
      <c r="A59" s="1" t="s">
        <v>4263</v>
      </c>
      <c r="B59" s="11">
        <f t="shared" ca="1" si="2"/>
        <v>43870</v>
      </c>
      <c r="C59" s="3" t="str">
        <f t="shared" ca="1" si="3"/>
        <v>Prod-031</v>
      </c>
      <c r="D59" s="1" t="str">
        <f t="shared" ca="1" si="4"/>
        <v>Android Dynasty</v>
      </c>
      <c r="E59" t="str">
        <f t="shared" ca="1" si="19"/>
        <v>Strategy</v>
      </c>
      <c r="F59" t="str">
        <f t="shared" ca="1" si="6"/>
        <v>Crypticorps</v>
      </c>
      <c r="G59" t="str">
        <f t="shared" ca="1" si="7"/>
        <v>Dumb Luck Entertainment</v>
      </c>
      <c r="H59" t="str">
        <f t="shared" ca="1" si="8"/>
        <v>PEGI-7</v>
      </c>
      <c r="I59" s="6">
        <f t="shared" ca="1" si="9"/>
        <v>89</v>
      </c>
      <c r="J59" t="str">
        <f t="shared" ca="1" si="10"/>
        <v>34 Hours</v>
      </c>
      <c r="K59" t="str">
        <f t="shared" ca="1" si="11"/>
        <v>Collector</v>
      </c>
      <c r="L59" s="7">
        <f t="shared" ca="1" si="17"/>
        <v>220</v>
      </c>
      <c r="M59" s="10">
        <f t="shared" ca="1" si="12"/>
        <v>121</v>
      </c>
      <c r="N59" s="9">
        <f t="shared" ca="1" si="20"/>
        <v>0.45</v>
      </c>
      <c r="O59" s="9">
        <f t="shared" ca="1" si="14"/>
        <v>0.75</v>
      </c>
      <c r="P59">
        <f t="shared" ca="1" si="15"/>
        <v>17</v>
      </c>
      <c r="Q59" t="str">
        <f t="shared" ca="1" si="18"/>
        <v>LOC-HI-N</v>
      </c>
      <c r="U59" t="str">
        <f t="shared" ca="1" si="16"/>
        <v>insert into Orders values ('Ord-034', '16-Apr-2020', 'Prod-013', 'Monsters of Nightmares', 'Adventure', 'Crypticorps', 'Light Crow Games', 'PEGI-18', 57, '51 Hours', 'Gold', 60, 39, 0.35, 0, 808, 'GLO-HI-N');</v>
      </c>
    </row>
    <row r="60" spans="1:21" x14ac:dyDescent="0.25">
      <c r="A60" s="1" t="s">
        <v>4264</v>
      </c>
      <c r="B60" s="11">
        <f t="shared" ca="1" si="2"/>
        <v>43907</v>
      </c>
      <c r="C60" s="3" t="str">
        <f t="shared" ca="1" si="3"/>
        <v>Prod-006</v>
      </c>
      <c r="D60" s="1" t="str">
        <f t="shared" ca="1" si="4"/>
        <v>Duty and Control</v>
      </c>
      <c r="E60" t="str">
        <f t="shared" ca="1" si="19"/>
        <v>Action</v>
      </c>
      <c r="F60" t="str">
        <f t="shared" ca="1" si="6"/>
        <v>Moondustries</v>
      </c>
      <c r="G60" t="str">
        <f t="shared" ca="1" si="7"/>
        <v>Filthy Door Interactive</v>
      </c>
      <c r="H60" t="str">
        <f t="shared" ca="1" si="8"/>
        <v>PEGI-12</v>
      </c>
      <c r="I60" s="6">
        <f t="shared" ca="1" si="9"/>
        <v>83</v>
      </c>
      <c r="J60" t="str">
        <f t="shared" ca="1" si="10"/>
        <v>29 Hours</v>
      </c>
      <c r="K60" t="str">
        <f t="shared" ca="1" si="11"/>
        <v>Collector</v>
      </c>
      <c r="L60" s="7">
        <f t="shared" ca="1" si="17"/>
        <v>300</v>
      </c>
      <c r="M60" s="10">
        <f t="shared" ca="1" si="12"/>
        <v>165</v>
      </c>
      <c r="N60" s="9">
        <f t="shared" ca="1" si="20"/>
        <v>0.45</v>
      </c>
      <c r="O60" s="9">
        <f t="shared" ca="1" si="14"/>
        <v>0.4</v>
      </c>
      <c r="P60">
        <f t="shared" ca="1" si="15"/>
        <v>600</v>
      </c>
      <c r="Q60" t="str">
        <f t="shared" ca="1" si="18"/>
        <v>GLO-HI-Y</v>
      </c>
      <c r="U60" t="str">
        <f t="shared" ca="1" si="16"/>
        <v>insert into Orders values ('Ord-035', '29-Jun-2020', 'Prod-038', 'Siegefront', 'Strategy', 'Lionshine', 'Vagabond Interactive', 'PEGI-16', 82, '14 Hours', 'Deluxe', 50, 35, 0.3, 0.1, 613, 'GLO-HI-Y');</v>
      </c>
    </row>
    <row r="61" spans="1:21" x14ac:dyDescent="0.25">
      <c r="A61" s="1" t="s">
        <v>4265</v>
      </c>
      <c r="B61" s="11">
        <f t="shared" ca="1" si="2"/>
        <v>43984</v>
      </c>
      <c r="C61" s="3" t="str">
        <f t="shared" ca="1" si="3"/>
        <v>Prod-022</v>
      </c>
      <c r="D61" s="1" t="str">
        <f t="shared" ca="1" si="4"/>
        <v>Eternal Harvest</v>
      </c>
      <c r="E61" t="str">
        <f t="shared" ca="1" si="19"/>
        <v>RPG</v>
      </c>
      <c r="F61" t="str">
        <f t="shared" ca="1" si="6"/>
        <v>Diamond Media</v>
      </c>
      <c r="G61" t="str">
        <f t="shared" ca="1" si="7"/>
        <v>Dapper Bull Media</v>
      </c>
      <c r="H61" t="str">
        <f t="shared" ca="1" si="8"/>
        <v>PEGI-16</v>
      </c>
      <c r="I61" s="6">
        <f t="shared" ca="1" si="9"/>
        <v>85</v>
      </c>
      <c r="J61" t="str">
        <f t="shared" ca="1" si="10"/>
        <v>9 Hours</v>
      </c>
      <c r="K61" t="str">
        <f t="shared" ca="1" si="11"/>
        <v>Standard</v>
      </c>
      <c r="L61" s="7">
        <f t="shared" ca="1" si="17"/>
        <v>60</v>
      </c>
      <c r="M61" s="10">
        <f t="shared" ca="1" si="12"/>
        <v>48</v>
      </c>
      <c r="N61" s="9">
        <f t="shared" ca="1" si="20"/>
        <v>0.2</v>
      </c>
      <c r="O61" s="9">
        <f t="shared" ca="1" si="14"/>
        <v>0.75</v>
      </c>
      <c r="P61">
        <f t="shared" ca="1" si="15"/>
        <v>291</v>
      </c>
      <c r="Q61" t="str">
        <f t="shared" ca="1" si="18"/>
        <v>GLO-LO-Y</v>
      </c>
      <c r="U61" t="str">
        <f t="shared" ca="1" si="16"/>
        <v>insert into Orders values ('Ord-036', '18-Jun-2020', 'Prod-017', 'Madscape', 'Adventure', 'Moondustries', 'Pretty Mage Arts', 'PEGI-18', 58, '74 Hours', 'Standard', 50, 40, 0.2, 0, 997, 'GLO-LO-Y');</v>
      </c>
    </row>
    <row r="62" spans="1:21" x14ac:dyDescent="0.25">
      <c r="A62" s="1" t="s">
        <v>4266</v>
      </c>
      <c r="B62" s="11">
        <f t="shared" ca="1" si="2"/>
        <v>43973</v>
      </c>
      <c r="C62" s="3" t="str">
        <f t="shared" ca="1" si="3"/>
        <v>Prod-011</v>
      </c>
      <c r="D62" s="1" t="str">
        <f t="shared" ca="1" si="4"/>
        <v>Heroic Legacy</v>
      </c>
      <c r="E62" t="str">
        <f t="shared" ca="1" si="19"/>
        <v>Adventure</v>
      </c>
      <c r="F62" t="str">
        <f t="shared" ca="1" si="6"/>
        <v>Diamond Media</v>
      </c>
      <c r="G62" t="str">
        <f t="shared" ca="1" si="7"/>
        <v>Scary Lizard Productions</v>
      </c>
      <c r="H62" t="str">
        <f t="shared" ca="1" si="8"/>
        <v>PEGI-18</v>
      </c>
      <c r="I62" s="6">
        <f t="shared" ca="1" si="9"/>
        <v>56</v>
      </c>
      <c r="J62" t="str">
        <f t="shared" ca="1" si="10"/>
        <v>10 Hours</v>
      </c>
      <c r="K62" t="str">
        <f t="shared" ca="1" si="11"/>
        <v>Collector</v>
      </c>
      <c r="L62" s="7">
        <f t="shared" ca="1" si="17"/>
        <v>240</v>
      </c>
      <c r="M62" s="10">
        <f t="shared" ca="1" si="12"/>
        <v>132</v>
      </c>
      <c r="N62" s="9">
        <f t="shared" ca="1" si="20"/>
        <v>0.45</v>
      </c>
      <c r="O62" s="9">
        <f t="shared" ca="1" si="14"/>
        <v>0.1</v>
      </c>
      <c r="P62">
        <f t="shared" ca="1" si="15"/>
        <v>739</v>
      </c>
      <c r="Q62" t="str">
        <f t="shared" ca="1" si="18"/>
        <v>GLO-HI-Y</v>
      </c>
      <c r="U62" t="str">
        <f t="shared" ca="1" si="16"/>
        <v>insert into Orders values ('Ord-037', '07-Feb-2020', 'Prod-022', 'Eternal Harvest', 'RPG', 'Fairyhive', 'Starsoft Productions', 'PEGI-18', 93, '73 Hours', 'Gold', 70, 45.5, 0.35, 0.4, 361, 'LOC-HI-N');</v>
      </c>
    </row>
    <row r="63" spans="1:21" x14ac:dyDescent="0.25">
      <c r="A63" s="1" t="s">
        <v>4267</v>
      </c>
      <c r="B63" s="11">
        <f t="shared" ca="1" si="2"/>
        <v>43875</v>
      </c>
      <c r="C63" s="3" t="str">
        <f t="shared" ca="1" si="3"/>
        <v>Prod-021</v>
      </c>
      <c r="D63" s="1" t="str">
        <f t="shared" ca="1" si="4"/>
        <v>Infernal Faction</v>
      </c>
      <c r="E63" t="str">
        <f t="shared" ca="1" si="19"/>
        <v>RPG</v>
      </c>
      <c r="F63" t="str">
        <f t="shared" ca="1" si="6"/>
        <v>Moondustries</v>
      </c>
      <c r="G63" t="str">
        <f t="shared" ca="1" si="7"/>
        <v>Dapper Bull Media</v>
      </c>
      <c r="H63" t="str">
        <f t="shared" ca="1" si="8"/>
        <v>PEGI-7</v>
      </c>
      <c r="I63" s="6">
        <f t="shared" ca="1" si="9"/>
        <v>100</v>
      </c>
      <c r="J63" t="str">
        <f t="shared" ca="1" si="10"/>
        <v>32 Hours</v>
      </c>
      <c r="K63" t="str">
        <f t="shared" ca="1" si="11"/>
        <v>Collector</v>
      </c>
      <c r="L63" s="7">
        <f t="shared" ca="1" si="17"/>
        <v>200</v>
      </c>
      <c r="M63" s="10">
        <f t="shared" ca="1" si="12"/>
        <v>110</v>
      </c>
      <c r="N63" s="9">
        <f t="shared" ca="1" si="20"/>
        <v>0.45</v>
      </c>
      <c r="O63" s="9">
        <f t="shared" ca="1" si="14"/>
        <v>0.4</v>
      </c>
      <c r="P63">
        <f t="shared" ca="1" si="15"/>
        <v>304</v>
      </c>
      <c r="Q63" t="str">
        <f t="shared" ca="1" si="18"/>
        <v>GLO-LO-Y</v>
      </c>
      <c r="U63" t="str">
        <f t="shared" ca="1" si="16"/>
        <v>insert into Orders values ('Ord-038', '23-Apr-2020', 'Prod-015', 'Hand and Chronicles', 'Adventure', 'Crypticorps', 'Scary Lizard Productions', 'PEGI-3', 84, '56 Hours', 'Deluxe', 50, 35, 0.3, 0.1, 703, 'LOC-LO-Y');</v>
      </c>
    </row>
    <row r="64" spans="1:21" x14ac:dyDescent="0.25">
      <c r="A64" s="1" t="s">
        <v>4268</v>
      </c>
      <c r="B64" s="11">
        <f t="shared" ca="1" si="2"/>
        <v>43929</v>
      </c>
      <c r="C64" s="3" t="str">
        <f t="shared" ca="1" si="3"/>
        <v>Prod-007</v>
      </c>
      <c r="D64" s="1" t="str">
        <f t="shared" ca="1" si="4"/>
        <v>Farforce</v>
      </c>
      <c r="E64" t="str">
        <f t="shared" ca="1" si="19"/>
        <v>Action</v>
      </c>
      <c r="F64" t="str">
        <f t="shared" ca="1" si="6"/>
        <v>Heartpoint</v>
      </c>
      <c r="G64" t="str">
        <f t="shared" ca="1" si="7"/>
        <v>Fierce Studios</v>
      </c>
      <c r="H64" t="str">
        <f t="shared" ca="1" si="8"/>
        <v>PEGI-18</v>
      </c>
      <c r="I64" s="6">
        <f t="shared" ca="1" si="9"/>
        <v>71</v>
      </c>
      <c r="J64" t="str">
        <f t="shared" ca="1" si="10"/>
        <v>46 Hours</v>
      </c>
      <c r="K64" t="str">
        <f t="shared" ca="1" si="11"/>
        <v>Standard</v>
      </c>
      <c r="L64" s="7">
        <f t="shared" ca="1" si="17"/>
        <v>30</v>
      </c>
      <c r="M64" s="10">
        <f t="shared" ca="1" si="12"/>
        <v>24</v>
      </c>
      <c r="N64" s="9">
        <f t="shared" ca="1" si="20"/>
        <v>0.2</v>
      </c>
      <c r="O64" s="9">
        <f t="shared" ca="1" si="14"/>
        <v>0.75</v>
      </c>
      <c r="P64">
        <f t="shared" ca="1" si="15"/>
        <v>56</v>
      </c>
      <c r="Q64" t="str">
        <f t="shared" ca="1" si="18"/>
        <v>LOC-ME-Y</v>
      </c>
      <c r="U64" t="str">
        <f t="shared" ca="1" si="16"/>
        <v>insert into Orders values ('Ord-039', '01-Apr-2020', 'Prod-019', 'Chronorite', 'Adventure', 'Heartpoint', 'Scary Lizard Productions', 'PEGI-16', 57, '75 Hours', 'Gold', 80, 52, 0.35, 0.75, 88, 'LOC-HI-N');</v>
      </c>
    </row>
    <row r="65" spans="1:21" x14ac:dyDescent="0.25">
      <c r="A65" s="1" t="s">
        <v>4269</v>
      </c>
      <c r="B65" s="11">
        <f t="shared" ca="1" si="2"/>
        <v>43979</v>
      </c>
      <c r="C65" s="3" t="str">
        <f t="shared" ca="1" si="3"/>
        <v>Prod-032</v>
      </c>
      <c r="D65" s="1" t="str">
        <f t="shared" ca="1" si="4"/>
        <v>Blood Cataclysm</v>
      </c>
      <c r="E65" t="str">
        <f t="shared" ca="1" si="19"/>
        <v>Strategy</v>
      </c>
      <c r="F65" t="str">
        <f t="shared" ca="1" si="6"/>
        <v>Alphacom</v>
      </c>
      <c r="G65" t="str">
        <f t="shared" ca="1" si="7"/>
        <v>Honest Door Entertainment</v>
      </c>
      <c r="H65" t="str">
        <f t="shared" ca="1" si="8"/>
        <v>PEGI-3</v>
      </c>
      <c r="I65" s="6">
        <f t="shared" ca="1" si="9"/>
        <v>55</v>
      </c>
      <c r="J65" t="str">
        <f t="shared" ca="1" si="10"/>
        <v>24 Hours</v>
      </c>
      <c r="K65" t="str">
        <f t="shared" ca="1" si="11"/>
        <v>Standard</v>
      </c>
      <c r="L65" s="7">
        <f t="shared" ca="1" si="17"/>
        <v>20</v>
      </c>
      <c r="M65" s="10">
        <f t="shared" ca="1" si="12"/>
        <v>16</v>
      </c>
      <c r="N65" s="9">
        <f t="shared" ca="1" si="20"/>
        <v>0.2</v>
      </c>
      <c r="O65" s="9">
        <f t="shared" ca="1" si="14"/>
        <v>0.75</v>
      </c>
      <c r="P65">
        <f t="shared" ca="1" si="15"/>
        <v>196</v>
      </c>
      <c r="Q65" t="str">
        <f t="shared" ca="1" si="18"/>
        <v>GLO-LO-N</v>
      </c>
      <c r="U65" t="str">
        <f t="shared" ca="1" si="16"/>
        <v>insert into Orders values ('Ord-040', '23-Jun-2020', 'Prod-013', 'Monsters of Nightmares', 'Adventure', 'Diamond Media', 'Subdomain Game Studios', 'PEGI-3', 70, '79 Hours', 'Deluxe', 70, 49, 0.3, 0.1, 754, 'GLO-ME-Y');</v>
      </c>
    </row>
    <row r="66" spans="1:21" x14ac:dyDescent="0.25">
      <c r="A66" s="1" t="s">
        <v>4270</v>
      </c>
      <c r="B66" s="11">
        <f t="shared" ca="1" si="2"/>
        <v>43868</v>
      </c>
      <c r="C66" s="3" t="str">
        <f t="shared" ca="1" si="3"/>
        <v>Prod-021</v>
      </c>
      <c r="D66" s="1" t="str">
        <f t="shared" ca="1" si="4"/>
        <v>Infernal Faction</v>
      </c>
      <c r="E66" t="str">
        <f t="shared" ca="1" si="19"/>
        <v>RPG</v>
      </c>
      <c r="F66" t="str">
        <f t="shared" ca="1" si="6"/>
        <v>Moondustries</v>
      </c>
      <c r="G66" t="str">
        <f t="shared" ca="1" si="7"/>
        <v>Subdomain Game Studios</v>
      </c>
      <c r="H66" t="str">
        <f t="shared" ca="1" si="8"/>
        <v>PEGI-16</v>
      </c>
      <c r="I66" s="6">
        <f t="shared" ca="1" si="9"/>
        <v>53</v>
      </c>
      <c r="J66" t="str">
        <f t="shared" ca="1" si="10"/>
        <v>6 Hours</v>
      </c>
      <c r="K66" t="str">
        <f t="shared" ca="1" si="11"/>
        <v>Standard</v>
      </c>
      <c r="L66" s="7">
        <f t="shared" ref="L66:L97" ca="1" si="21">IF(K66 =$Y$13, r_uniform(20,60,-1), IF(K66 =$Y$14, r_uniform(40,80,-1),IF(K66 =$Y$15, r_uniform(60,120,-1),IF(K66 =$Y$16, r_uniform(100,300,-1)))))</f>
        <v>20</v>
      </c>
      <c r="M66" s="10">
        <f t="shared" ca="1" si="12"/>
        <v>16</v>
      </c>
      <c r="N66" s="9">
        <f t="shared" ca="1" si="20"/>
        <v>0.2</v>
      </c>
      <c r="O66" s="9">
        <f t="shared" ca="1" si="14"/>
        <v>0.75</v>
      </c>
      <c r="P66">
        <f t="shared" ca="1" si="15"/>
        <v>251</v>
      </c>
      <c r="Q66" t="str">
        <f t="shared" ref="Q66:Q101" ca="1" si="22">r_choice($Z$9:$Z$10)&amp;"-"&amp;r_choice($Z$13:$Z$15)&amp;"-"&amp;r_choice($Z$18:$Z$19)</f>
        <v>LOC-ME-Y</v>
      </c>
      <c r="U66" t="str">
        <f t="shared" ca="1" si="16"/>
        <v>insert into Orders values ('Ord-041', '05-Feb-2020', 'Prod-019', 'Chronorite', 'Adventure', 'Surprisystems', 'Honest Door Entertainment', 'PEGI-3', 60, '66 Hours', 'Deluxe', 40, 28, 0.3, 0.1, 614, 'LOC-LO-N');</v>
      </c>
    </row>
    <row r="67" spans="1:21" x14ac:dyDescent="0.25">
      <c r="A67" s="1" t="s">
        <v>4271</v>
      </c>
      <c r="B67" s="11">
        <f t="shared" ref="B67:B101" ca="1" si="23">r_date(2020,1,2020,6)</f>
        <v>43870</v>
      </c>
      <c r="C67" s="3" t="str">
        <f t="shared" ref="C67:C101" ca="1" si="24">"Prod-"&amp; TEXT(r_integer(1,40),"000")</f>
        <v>Prod-040</v>
      </c>
      <c r="D67" s="1" t="str">
        <f t="shared" ref="D67:D101" ca="1" si="25">IF(E67=$V$1,VLOOKUP(_xlfn.NUMBERVALUE(RIGHT(C67,1)),$U$2:$V$11,2,0),IF(E67=$V$13,VLOOKUP(_xlfn.NUMBERVALUE(RIGHT(C67,1)),$U$14:$V$23,2,0),IF(E67=$W$1,VLOOKUP(_xlfn.NUMBERVALUE(RIGHT(C67,1)),$U$2:$W$11,3,0),IF(E67=$W$13,VLOOKUP(_xlfn.NUMBERVALUE(RIGHT(C67,1)),$U$14:$W$23,3,0)))))</f>
        <v>Netherheart</v>
      </c>
      <c r="E67" t="str">
        <f t="shared" ca="1" si="19"/>
        <v>Strategy</v>
      </c>
      <c r="F67" t="str">
        <f t="shared" ref="F67:F101" ca="1" si="26">r_choice($Y$2:$Y$10)</f>
        <v>Crypticorps</v>
      </c>
      <c r="G67" t="str">
        <f t="shared" ref="G67:G101" ca="1" si="27">r_choice($X$2:$X$21)</f>
        <v>Pretty Mage Arts</v>
      </c>
      <c r="H67" t="str">
        <f t="shared" ref="H67:H101" ca="1" si="28">r_choice($Z$2:$Z$6)</f>
        <v>PEGI-12</v>
      </c>
      <c r="I67" s="6">
        <f t="shared" ref="I67:I101" ca="1" si="29">r_integer(50,100)</f>
        <v>53</v>
      </c>
      <c r="J67" t="str">
        <f t="shared" ref="J67:J101" ca="1" si="30">r_integer(2,80)&amp;" Hours"</f>
        <v>80 Hours</v>
      </c>
      <c r="K67" t="str">
        <f t="shared" ref="K67:K101" ca="1" si="31">r_choice($Y$13:$Y$16)</f>
        <v>Collector</v>
      </c>
      <c r="L67" s="7">
        <f t="shared" ca="1" si="21"/>
        <v>200</v>
      </c>
      <c r="M67" s="10">
        <f t="shared" ref="M67:M101" ca="1" si="32">L67-L67*N67</f>
        <v>110</v>
      </c>
      <c r="N67" s="9">
        <f t="shared" ca="1" si="20"/>
        <v>0.45</v>
      </c>
      <c r="O67" s="9">
        <f t="shared" ref="O67:O101" ca="1" si="33">IF(P67&lt;=300,0.75,IF(AND(P67&gt;300,P67&lt;=600),0.4,IF(AND(P67&gt;600,P67&lt;=800),0.1,0)))</f>
        <v>0.1</v>
      </c>
      <c r="P67">
        <f t="shared" ref="P67:P101" ca="1" si="34">r_integer(10,1000)</f>
        <v>639</v>
      </c>
      <c r="Q67" t="str">
        <f t="shared" ca="1" si="22"/>
        <v>GLO-ME-N</v>
      </c>
      <c r="U67" t="str">
        <f t="shared" ca="1" si="16"/>
        <v>insert into Orders values ('Ord-042', '28-Jun-2020', 'Prod-009', 'Everrain', 'Action', 'Moondustries', 'Thunderstorm Studios', 'PEGI-18', 54, '63 Hours', 'Collector', 220, 121, 0.45, 0.4, 353, 'GLO-HI-N');</v>
      </c>
    </row>
    <row r="68" spans="1:21" x14ac:dyDescent="0.25">
      <c r="A68" s="1" t="s">
        <v>4272</v>
      </c>
      <c r="B68" s="11">
        <f t="shared" ca="1" si="23"/>
        <v>43878</v>
      </c>
      <c r="C68" s="3" t="str">
        <f t="shared" ca="1" si="24"/>
        <v>Prod-017</v>
      </c>
      <c r="D68" s="1" t="str">
        <f t="shared" ca="1" si="25"/>
        <v>Madscape</v>
      </c>
      <c r="E68" t="str">
        <f t="shared" ca="1" si="19"/>
        <v>Adventure</v>
      </c>
      <c r="F68" t="str">
        <f t="shared" ca="1" si="26"/>
        <v>Fairyhive</v>
      </c>
      <c r="G68" t="str">
        <f t="shared" ca="1" si="27"/>
        <v>Fierce Studios</v>
      </c>
      <c r="H68" t="str">
        <f t="shared" ca="1" si="28"/>
        <v>PEGI-12</v>
      </c>
      <c r="I68" s="6">
        <f t="shared" ca="1" si="29"/>
        <v>89</v>
      </c>
      <c r="J68" t="str">
        <f t="shared" ca="1" si="30"/>
        <v>5 Hours</v>
      </c>
      <c r="K68" t="str">
        <f t="shared" ca="1" si="31"/>
        <v>Standard</v>
      </c>
      <c r="L68" s="7">
        <f t="shared" ca="1" si="21"/>
        <v>20</v>
      </c>
      <c r="M68" s="10">
        <f t="shared" ca="1" si="32"/>
        <v>16</v>
      </c>
      <c r="N68" s="9">
        <f t="shared" ca="1" si="20"/>
        <v>0.2</v>
      </c>
      <c r="O68" s="9">
        <f t="shared" ca="1" si="33"/>
        <v>0.4</v>
      </c>
      <c r="P68">
        <f t="shared" ca="1" si="34"/>
        <v>482</v>
      </c>
      <c r="Q68" t="str">
        <f t="shared" ca="1" si="22"/>
        <v>LOC-LO-Y</v>
      </c>
      <c r="U68" t="str">
        <f t="shared" ca="1" si="16"/>
        <v>insert into Orders values ('Ord-043', '04-Apr-2020', 'Prod-028', 'Warhunt', 'RPG', 'Alphacom', 'Golden Boa Interactive', 'PEGI-3', 76, '10 Hours', 'Standard', 60, 48, 0.2, 0.75, 110, 'LOC-LO-N');</v>
      </c>
    </row>
    <row r="69" spans="1:21" x14ac:dyDescent="0.25">
      <c r="A69" s="1" t="s">
        <v>4273</v>
      </c>
      <c r="B69" s="11">
        <f t="shared" ca="1" si="23"/>
        <v>43931</v>
      </c>
      <c r="C69" s="3" t="str">
        <f t="shared" ca="1" si="24"/>
        <v>Prod-012</v>
      </c>
      <c r="D69" s="1" t="str">
        <f t="shared" ca="1" si="25"/>
        <v>Dark Sect</v>
      </c>
      <c r="E69" t="str">
        <f t="shared" ca="1" si="19"/>
        <v>Adventure</v>
      </c>
      <c r="F69" t="str">
        <f t="shared" ca="1" si="26"/>
        <v>Lionshine</v>
      </c>
      <c r="G69" t="str">
        <f t="shared" ca="1" si="27"/>
        <v>Blind Raccoon Productions</v>
      </c>
      <c r="H69" t="str">
        <f t="shared" ca="1" si="28"/>
        <v>PEGI-16</v>
      </c>
      <c r="I69" s="6">
        <f t="shared" ca="1" si="29"/>
        <v>67</v>
      </c>
      <c r="J69" t="str">
        <f t="shared" ca="1" si="30"/>
        <v>4 Hours</v>
      </c>
      <c r="K69" t="str">
        <f t="shared" ca="1" si="31"/>
        <v>Gold</v>
      </c>
      <c r="L69" s="7">
        <f t="shared" ca="1" si="21"/>
        <v>80</v>
      </c>
      <c r="M69" s="10">
        <f t="shared" ca="1" si="32"/>
        <v>52</v>
      </c>
      <c r="N69" s="9">
        <f t="shared" ca="1" si="20"/>
        <v>0.35</v>
      </c>
      <c r="O69" s="9">
        <f t="shared" ca="1" si="33"/>
        <v>0</v>
      </c>
      <c r="P69">
        <f t="shared" ca="1" si="34"/>
        <v>990</v>
      </c>
      <c r="Q69" t="str">
        <f t="shared" ca="1" si="22"/>
        <v>GLO-LO-Y</v>
      </c>
      <c r="U69" t="str">
        <f t="shared" ca="1" si="16"/>
        <v>insert into Orders values ('Ord-044', '10-Apr-2020', 'Prod-023', 'Magic of Mythology', 'RPG', 'Moondustries', 'Dumb Luck Entertainment', 'PEGI-7', 69, '70 Hours', 'Gold', 110, 71.5, 0.35, 0.4, 302, 'GLO-LO-N');</v>
      </c>
    </row>
    <row r="70" spans="1:21" x14ac:dyDescent="0.25">
      <c r="A70" s="1" t="s">
        <v>4274</v>
      </c>
      <c r="B70" s="11">
        <f t="shared" ca="1" si="23"/>
        <v>43832</v>
      </c>
      <c r="C70" s="3" t="str">
        <f t="shared" ca="1" si="24"/>
        <v>Prod-035</v>
      </c>
      <c r="D70" s="1" t="str">
        <f t="shared" ca="1" si="25"/>
        <v>Legions and Warlords</v>
      </c>
      <c r="E70" t="str">
        <f t="shared" ca="1" si="19"/>
        <v>Strategy</v>
      </c>
      <c r="F70" t="str">
        <f t="shared" ca="1" si="26"/>
        <v>Fairyhive</v>
      </c>
      <c r="G70" t="str">
        <f t="shared" ca="1" si="27"/>
        <v>Vagabond Interactive</v>
      </c>
      <c r="H70" t="str">
        <f t="shared" ca="1" si="28"/>
        <v>PEGI-18</v>
      </c>
      <c r="I70" s="6">
        <f t="shared" ca="1" si="29"/>
        <v>77</v>
      </c>
      <c r="J70" t="str">
        <f t="shared" ca="1" si="30"/>
        <v>25 Hours</v>
      </c>
      <c r="K70" t="str">
        <f t="shared" ca="1" si="31"/>
        <v>Deluxe</v>
      </c>
      <c r="L70" s="7">
        <f t="shared" ca="1" si="21"/>
        <v>60</v>
      </c>
      <c r="M70" s="10">
        <f t="shared" ca="1" si="32"/>
        <v>42</v>
      </c>
      <c r="N70" s="9">
        <f t="shared" ca="1" si="20"/>
        <v>0.3</v>
      </c>
      <c r="O70" s="9">
        <f t="shared" ca="1" si="33"/>
        <v>0</v>
      </c>
      <c r="P70">
        <f t="shared" ca="1" si="34"/>
        <v>920</v>
      </c>
      <c r="Q70" t="str">
        <f t="shared" ca="1" si="22"/>
        <v>LOC-LO-N</v>
      </c>
      <c r="U70" t="str">
        <f t="shared" ca="1" si="16"/>
        <v>insert into Orders values ('Ord-045', '17-Feb-2020', 'Prod-009', 'Everrain', 'Action', 'Heartpoint', 'Vagabond Interactive', 'PEGI-16', 54, '14 Hours', 'Deluxe', 80, 56, 0.3, 0.75, 48, 'GLO-LO-N');</v>
      </c>
    </row>
    <row r="71" spans="1:21" x14ac:dyDescent="0.25">
      <c r="A71" s="1" t="s">
        <v>4275</v>
      </c>
      <c r="B71" s="11">
        <f t="shared" ca="1" si="23"/>
        <v>44006</v>
      </c>
      <c r="C71" s="3" t="str">
        <f t="shared" ca="1" si="24"/>
        <v>Prod-003</v>
      </c>
      <c r="D71" s="1" t="str">
        <f t="shared" ca="1" si="25"/>
        <v>Pillage of Opportunity</v>
      </c>
      <c r="E71" t="str">
        <f t="shared" ca="1" si="19"/>
        <v>Action</v>
      </c>
      <c r="F71" t="str">
        <f t="shared" ca="1" si="26"/>
        <v>Alphacom</v>
      </c>
      <c r="G71" t="str">
        <f t="shared" ca="1" si="27"/>
        <v>Subdomain Game Studios</v>
      </c>
      <c r="H71" t="str">
        <f t="shared" ca="1" si="28"/>
        <v>PEGI-18</v>
      </c>
      <c r="I71" s="6">
        <f t="shared" ca="1" si="29"/>
        <v>75</v>
      </c>
      <c r="J71" t="str">
        <f t="shared" ca="1" si="30"/>
        <v>73 Hours</v>
      </c>
      <c r="K71" t="str">
        <f t="shared" ca="1" si="31"/>
        <v>Gold</v>
      </c>
      <c r="L71" s="7">
        <f t="shared" ca="1" si="21"/>
        <v>70</v>
      </c>
      <c r="M71" s="10">
        <f t="shared" ca="1" si="32"/>
        <v>45.5</v>
      </c>
      <c r="N71" s="9">
        <f t="shared" ca="1" si="20"/>
        <v>0.35</v>
      </c>
      <c r="O71" s="9">
        <f t="shared" ca="1" si="33"/>
        <v>0.75</v>
      </c>
      <c r="P71">
        <f t="shared" ca="1" si="34"/>
        <v>233</v>
      </c>
      <c r="Q71" t="str">
        <f t="shared" ca="1" si="22"/>
        <v>GLO-HI-N</v>
      </c>
      <c r="U71" t="str">
        <f t="shared" ca="1" si="16"/>
        <v>insert into Orders values ('Ord-046', '19-Jan-2020', 'Prod-008', 'Blueborne', 'Action', 'Moondustries', 'Vagabond Interactive', 'PEGI-3', 52, '41 Hours', 'Gold', 100, 65, 0.35, 0.4, 320, 'GLO-ME-N');</v>
      </c>
    </row>
    <row r="72" spans="1:21" x14ac:dyDescent="0.25">
      <c r="A72" s="1" t="s">
        <v>4276</v>
      </c>
      <c r="B72" s="11">
        <f t="shared" ca="1" si="23"/>
        <v>43930</v>
      </c>
      <c r="C72" s="3" t="str">
        <f t="shared" ca="1" si="24"/>
        <v>Prod-033</v>
      </c>
      <c r="D72" s="1" t="str">
        <f t="shared" ca="1" si="25"/>
        <v>Warlords of Turmoil</v>
      </c>
      <c r="E72" t="str">
        <f t="shared" ca="1" si="19"/>
        <v>Strategy</v>
      </c>
      <c r="F72" t="str">
        <f t="shared" ca="1" si="26"/>
        <v>Moondustries</v>
      </c>
      <c r="G72" t="str">
        <f t="shared" ca="1" si="27"/>
        <v>Dumb Luck Entertainment</v>
      </c>
      <c r="H72" t="str">
        <f t="shared" ca="1" si="28"/>
        <v>PEGI-12</v>
      </c>
      <c r="I72" s="6">
        <f t="shared" ca="1" si="29"/>
        <v>54</v>
      </c>
      <c r="J72" t="str">
        <f t="shared" ca="1" si="30"/>
        <v>22 Hours</v>
      </c>
      <c r="K72" t="str">
        <f t="shared" ca="1" si="31"/>
        <v>Standard</v>
      </c>
      <c r="L72" s="7">
        <f t="shared" ca="1" si="21"/>
        <v>40</v>
      </c>
      <c r="M72" s="10">
        <f t="shared" ca="1" si="32"/>
        <v>32</v>
      </c>
      <c r="N72" s="9">
        <f t="shared" ca="1" si="20"/>
        <v>0.2</v>
      </c>
      <c r="O72" s="9">
        <f t="shared" ca="1" si="33"/>
        <v>0.1</v>
      </c>
      <c r="P72">
        <f t="shared" ca="1" si="34"/>
        <v>787</v>
      </c>
      <c r="Q72" t="str">
        <f t="shared" ca="1" si="22"/>
        <v>LOC-ME-Y</v>
      </c>
      <c r="U72" t="str">
        <f t="shared" ca="1" si="16"/>
        <v>insert into Orders values ('Ord-047', '06-Apr-2020', 'Prod-020', 'Emberville', 'Adventure', 'Heartpoint', 'Golden Boa Interactive', 'PEGI-7', 72, '11 Hours', 'Standard', 60, 48, 0.2, 0.1, 678, 'GLO-HI-N');</v>
      </c>
    </row>
    <row r="73" spans="1:21" x14ac:dyDescent="0.25">
      <c r="A73" s="1" t="s">
        <v>4277</v>
      </c>
      <c r="B73" s="11">
        <f t="shared" ca="1" si="23"/>
        <v>43885</v>
      </c>
      <c r="C73" s="3" t="str">
        <f t="shared" ca="1" si="24"/>
        <v>Prod-015</v>
      </c>
      <c r="D73" s="1" t="str">
        <f t="shared" ca="1" si="25"/>
        <v>Hand and Chronicles</v>
      </c>
      <c r="E73" t="str">
        <f t="shared" ca="1" si="19"/>
        <v>Adventure</v>
      </c>
      <c r="F73" t="str">
        <f t="shared" ca="1" si="26"/>
        <v>Cliff Acoustics</v>
      </c>
      <c r="G73" t="str">
        <f t="shared" ca="1" si="27"/>
        <v>Thunderjam Interactive</v>
      </c>
      <c r="H73" t="str">
        <f t="shared" ca="1" si="28"/>
        <v>PEGI-3</v>
      </c>
      <c r="I73" s="6">
        <f t="shared" ca="1" si="29"/>
        <v>58</v>
      </c>
      <c r="J73" t="str">
        <f t="shared" ca="1" si="30"/>
        <v>35 Hours</v>
      </c>
      <c r="K73" t="str">
        <f t="shared" ca="1" si="31"/>
        <v>Gold</v>
      </c>
      <c r="L73" s="7">
        <f t="shared" ca="1" si="21"/>
        <v>70</v>
      </c>
      <c r="M73" s="10">
        <f t="shared" ca="1" si="32"/>
        <v>45.5</v>
      </c>
      <c r="N73" s="9">
        <f t="shared" ca="1" si="20"/>
        <v>0.35</v>
      </c>
      <c r="O73" s="9">
        <f t="shared" ca="1" si="33"/>
        <v>0.4</v>
      </c>
      <c r="P73">
        <f t="shared" ca="1" si="34"/>
        <v>316</v>
      </c>
      <c r="Q73" t="str">
        <f t="shared" ca="1" si="22"/>
        <v>GLO-LO-N</v>
      </c>
      <c r="U73" t="str">
        <f t="shared" ca="1" si="16"/>
        <v>insert into Orders values ('Ord-048', '05-Jun-2020', 'Prod-001', 'Red Omen', 'Action', 'Surprisystems', 'Numb Kitten Productions', 'PEGI-7', 51, '57 Hours', 'Standard', 50, 40, 0.2, 0.75, 249, 'GLO-HI-Y');</v>
      </c>
    </row>
    <row r="74" spans="1:21" x14ac:dyDescent="0.25">
      <c r="A74" s="1" t="s">
        <v>4278</v>
      </c>
      <c r="B74" s="11">
        <f t="shared" ca="1" si="23"/>
        <v>43938</v>
      </c>
      <c r="C74" s="3" t="str">
        <f t="shared" ca="1" si="24"/>
        <v>Prod-021</v>
      </c>
      <c r="D74" s="1" t="str">
        <f t="shared" ca="1" si="25"/>
        <v>Infernal Faction</v>
      </c>
      <c r="E74" t="str">
        <f t="shared" ca="1" si="19"/>
        <v>RPG</v>
      </c>
      <c r="F74" t="str">
        <f t="shared" ca="1" si="26"/>
        <v>Alphacom</v>
      </c>
      <c r="G74" t="str">
        <f t="shared" ca="1" si="27"/>
        <v>Dapper Bull Media</v>
      </c>
      <c r="H74" t="str">
        <f t="shared" ca="1" si="28"/>
        <v>PEGI-12</v>
      </c>
      <c r="I74" s="6">
        <f t="shared" ca="1" si="29"/>
        <v>84</v>
      </c>
      <c r="J74" t="str">
        <f t="shared" ca="1" si="30"/>
        <v>45 Hours</v>
      </c>
      <c r="K74" t="str">
        <f t="shared" ca="1" si="31"/>
        <v>Deluxe</v>
      </c>
      <c r="L74" s="7">
        <f t="shared" ca="1" si="21"/>
        <v>40</v>
      </c>
      <c r="M74" s="10">
        <f t="shared" ca="1" si="32"/>
        <v>28</v>
      </c>
      <c r="N74" s="9">
        <f t="shared" ca="1" si="20"/>
        <v>0.3</v>
      </c>
      <c r="O74" s="9">
        <f t="shared" ca="1" si="33"/>
        <v>0.4</v>
      </c>
      <c r="P74">
        <f t="shared" ca="1" si="34"/>
        <v>401</v>
      </c>
      <c r="Q74" t="str">
        <f t="shared" ca="1" si="22"/>
        <v>LOC-ME-N</v>
      </c>
      <c r="U74" t="str">
        <f t="shared" ca="1" si="16"/>
        <v>insert into Orders values ('Ord-049', '01-Jun-2020', 'Prod-014', 'Wizards of Sorrow', 'Adventure', 'Crypticorps', 'Rare Spectre Arts', 'PEGI-3', 58, '38 Hours', 'Collector', 180, 99, 0.45, 0.75, 178, 'LOC-ME-N');</v>
      </c>
    </row>
    <row r="75" spans="1:21" x14ac:dyDescent="0.25">
      <c r="A75" s="1" t="s">
        <v>4279</v>
      </c>
      <c r="B75" s="11">
        <f t="shared" ca="1" si="23"/>
        <v>43996</v>
      </c>
      <c r="C75" s="3" t="str">
        <f t="shared" ca="1" si="24"/>
        <v>Prod-018</v>
      </c>
      <c r="D75" s="1" t="str">
        <f t="shared" ca="1" si="25"/>
        <v>Bloodscape</v>
      </c>
      <c r="E75" t="str">
        <f t="shared" ca="1" si="19"/>
        <v>Adventure</v>
      </c>
      <c r="F75" t="str">
        <f t="shared" ca="1" si="26"/>
        <v>Alphacom</v>
      </c>
      <c r="G75" t="str">
        <f t="shared" ca="1" si="27"/>
        <v>Dumb Luck Entertainment</v>
      </c>
      <c r="H75" t="str">
        <f t="shared" ca="1" si="28"/>
        <v>PEGI-12</v>
      </c>
      <c r="I75" s="6">
        <f t="shared" ca="1" si="29"/>
        <v>52</v>
      </c>
      <c r="J75" t="str">
        <f t="shared" ca="1" si="30"/>
        <v>58 Hours</v>
      </c>
      <c r="K75" t="str">
        <f t="shared" ca="1" si="31"/>
        <v>Deluxe</v>
      </c>
      <c r="L75" s="7">
        <f t="shared" ca="1" si="21"/>
        <v>60</v>
      </c>
      <c r="M75" s="10">
        <f t="shared" ca="1" si="32"/>
        <v>42</v>
      </c>
      <c r="N75" s="9">
        <f t="shared" ca="1" si="20"/>
        <v>0.3</v>
      </c>
      <c r="O75" s="9">
        <f t="shared" ca="1" si="33"/>
        <v>0.75</v>
      </c>
      <c r="P75">
        <f t="shared" ca="1" si="34"/>
        <v>209</v>
      </c>
      <c r="Q75" t="str">
        <f t="shared" ca="1" si="22"/>
        <v>LOC-ME-Y</v>
      </c>
      <c r="U75" t="str">
        <f t="shared" ca="1" si="16"/>
        <v>insert into Orders values ('Ord-050', '08-Mar-2020', 'Prod-007', 'Farforce', 'Action', 'Crypticorps', 'Honest Door Entertainment', 'PEGI-7', 61, '75 Hours', 'Gold', 110, 71.5, 0.35, 0.75, 269, 'GLO-LO-Y');</v>
      </c>
    </row>
    <row r="76" spans="1:21" x14ac:dyDescent="0.25">
      <c r="A76" s="1" t="s">
        <v>4280</v>
      </c>
      <c r="B76" s="11">
        <f t="shared" ca="1" si="23"/>
        <v>43957</v>
      </c>
      <c r="C76" s="3" t="str">
        <f t="shared" ca="1" si="24"/>
        <v>Prod-006</v>
      </c>
      <c r="D76" s="1" t="str">
        <f t="shared" ca="1" si="25"/>
        <v>Duty and Control</v>
      </c>
      <c r="E76" t="str">
        <f t="shared" ca="1" si="19"/>
        <v>Action</v>
      </c>
      <c r="F76" t="str">
        <f t="shared" ca="1" si="26"/>
        <v>Lionshine</v>
      </c>
      <c r="G76" t="str">
        <f t="shared" ca="1" si="27"/>
        <v>Thunderstorm Studios</v>
      </c>
      <c r="H76" t="str">
        <f t="shared" ca="1" si="28"/>
        <v>PEGI-7</v>
      </c>
      <c r="I76" s="6">
        <f t="shared" ca="1" si="29"/>
        <v>82</v>
      </c>
      <c r="J76" t="str">
        <f t="shared" ca="1" si="30"/>
        <v>60 Hours</v>
      </c>
      <c r="K76" t="str">
        <f t="shared" ca="1" si="31"/>
        <v>Gold</v>
      </c>
      <c r="L76" s="7">
        <f t="shared" ca="1" si="21"/>
        <v>70</v>
      </c>
      <c r="M76" s="10">
        <f t="shared" ca="1" si="32"/>
        <v>45.5</v>
      </c>
      <c r="N76" s="9">
        <f t="shared" ca="1" si="20"/>
        <v>0.35</v>
      </c>
      <c r="O76" s="9">
        <f t="shared" ca="1" si="33"/>
        <v>0.75</v>
      </c>
      <c r="P76">
        <f t="shared" ca="1" si="34"/>
        <v>239</v>
      </c>
      <c r="Q76" t="str">
        <f t="shared" ca="1" si="22"/>
        <v>LOC-HI-Y</v>
      </c>
      <c r="U76" t="str">
        <f t="shared" ca="1" si="16"/>
        <v>insert into Orders values ('Ord-051', '20-Apr-2020', 'Prod-037', 'Phantomland', 'Strategy', 'Fairyhive', 'Filthy Door Interactive', 'PEGI-12', 60, '53 Hours', 'Collector', 200, 110, 0.45, 0.75, 180, 'LOC-HI-Y');</v>
      </c>
    </row>
    <row r="77" spans="1:21" x14ac:dyDescent="0.25">
      <c r="A77" s="1" t="s">
        <v>4281</v>
      </c>
      <c r="B77" s="11">
        <f t="shared" ca="1" si="23"/>
        <v>43918</v>
      </c>
      <c r="C77" s="3" t="str">
        <f t="shared" ca="1" si="24"/>
        <v>Prod-016</v>
      </c>
      <c r="D77" s="1" t="str">
        <f t="shared" ca="1" si="25"/>
        <v>Heaven and Alchemy</v>
      </c>
      <c r="E77" t="str">
        <f t="shared" ca="1" si="19"/>
        <v>Adventure</v>
      </c>
      <c r="F77" t="str">
        <f t="shared" ca="1" si="26"/>
        <v>Alphacom</v>
      </c>
      <c r="G77" t="str">
        <f t="shared" ca="1" si="27"/>
        <v>Blind Raccoon Productions</v>
      </c>
      <c r="H77" t="str">
        <f t="shared" ca="1" si="28"/>
        <v>PEGI-3</v>
      </c>
      <c r="I77" s="6">
        <f t="shared" ca="1" si="29"/>
        <v>87</v>
      </c>
      <c r="J77" t="str">
        <f t="shared" ca="1" si="30"/>
        <v>31 Hours</v>
      </c>
      <c r="K77" t="str">
        <f t="shared" ca="1" si="31"/>
        <v>Standard</v>
      </c>
      <c r="L77" s="7">
        <f t="shared" ca="1" si="21"/>
        <v>50</v>
      </c>
      <c r="M77" s="10">
        <f t="shared" ca="1" si="32"/>
        <v>40</v>
      </c>
      <c r="N77" s="9">
        <f t="shared" ca="1" si="20"/>
        <v>0.2</v>
      </c>
      <c r="O77" s="9">
        <f t="shared" ca="1" si="33"/>
        <v>0.75</v>
      </c>
      <c r="P77">
        <f t="shared" ca="1" si="34"/>
        <v>216</v>
      </c>
      <c r="Q77" t="str">
        <f t="shared" ca="1" si="22"/>
        <v>LOC-ME-N</v>
      </c>
      <c r="U77" t="str">
        <f t="shared" ca="1" si="16"/>
        <v>insert into Orders values ('Ord-052', '02-Feb-2020', 'Prod-021', 'Infernal Faction', 'RPG', 'Fairyhive', 'Light Crow Games', 'PEGI-7', 74, '39 Hours', 'Deluxe', 80, 56, 0.3, 0, 838, 'LOC-HI-N');</v>
      </c>
    </row>
    <row r="78" spans="1:21" x14ac:dyDescent="0.25">
      <c r="A78" s="1" t="s">
        <v>4282</v>
      </c>
      <c r="B78" s="11">
        <f t="shared" ca="1" si="23"/>
        <v>43902</v>
      </c>
      <c r="C78" s="3" t="str">
        <f t="shared" ca="1" si="24"/>
        <v>Prod-033</v>
      </c>
      <c r="D78" s="1" t="str">
        <f t="shared" ca="1" si="25"/>
        <v>Warlords of Turmoil</v>
      </c>
      <c r="E78" t="str">
        <f t="shared" ca="1" si="19"/>
        <v>Strategy</v>
      </c>
      <c r="F78" t="str">
        <f t="shared" ca="1" si="26"/>
        <v>Moondustries</v>
      </c>
      <c r="G78" t="str">
        <f t="shared" ca="1" si="27"/>
        <v>Thunderstorm Studios</v>
      </c>
      <c r="H78" t="str">
        <f t="shared" ca="1" si="28"/>
        <v>PEGI-16</v>
      </c>
      <c r="I78" s="6">
        <f t="shared" ca="1" si="29"/>
        <v>77</v>
      </c>
      <c r="J78" t="str">
        <f t="shared" ca="1" si="30"/>
        <v>76 Hours</v>
      </c>
      <c r="K78" t="str">
        <f t="shared" ca="1" si="31"/>
        <v>Gold</v>
      </c>
      <c r="L78" s="7">
        <f t="shared" ca="1" si="21"/>
        <v>60</v>
      </c>
      <c r="M78" s="10">
        <f t="shared" ca="1" si="32"/>
        <v>39</v>
      </c>
      <c r="N78" s="9">
        <f t="shared" ca="1" si="20"/>
        <v>0.35</v>
      </c>
      <c r="O78" s="9">
        <f t="shared" ca="1" si="33"/>
        <v>0.4</v>
      </c>
      <c r="P78">
        <f t="shared" ca="1" si="34"/>
        <v>570</v>
      </c>
      <c r="Q78" t="str">
        <f t="shared" ca="1" si="22"/>
        <v>GLO-LO-Y</v>
      </c>
      <c r="U78" t="str">
        <f t="shared" ca="1" si="16"/>
        <v>insert into Orders values ('Ord-053', '15-Feb-2020', 'Prod-019', 'Chronorite', 'Adventure', 'Moondustries', 'Rare Spectre Arts', 'PEGI-12', 64, '57 Hours', 'Gold', 110, 71.5, 0.35, 0.75, 101, 'GLO-ME-Y');</v>
      </c>
    </row>
    <row r="79" spans="1:21" x14ac:dyDescent="0.25">
      <c r="A79" s="1" t="s">
        <v>4283</v>
      </c>
      <c r="B79" s="11">
        <f t="shared" ca="1" si="23"/>
        <v>43856</v>
      </c>
      <c r="C79" s="3" t="str">
        <f t="shared" ca="1" si="24"/>
        <v>Prod-011</v>
      </c>
      <c r="D79" s="1" t="str">
        <f t="shared" ca="1" si="25"/>
        <v>Heroic Legacy</v>
      </c>
      <c r="E79" t="str">
        <f t="shared" ca="1" si="19"/>
        <v>Adventure</v>
      </c>
      <c r="F79" t="str">
        <f t="shared" ca="1" si="26"/>
        <v>Moondustries</v>
      </c>
      <c r="G79" t="str">
        <f t="shared" ca="1" si="27"/>
        <v>Scary Lizard Productions</v>
      </c>
      <c r="H79" t="str">
        <f t="shared" ca="1" si="28"/>
        <v>PEGI-16</v>
      </c>
      <c r="I79" s="6">
        <f t="shared" ca="1" si="29"/>
        <v>70</v>
      </c>
      <c r="J79" t="str">
        <f t="shared" ca="1" si="30"/>
        <v>43 Hours</v>
      </c>
      <c r="K79" t="str">
        <f t="shared" ca="1" si="31"/>
        <v>Deluxe</v>
      </c>
      <c r="L79" s="7">
        <f t="shared" ca="1" si="21"/>
        <v>70</v>
      </c>
      <c r="M79" s="10">
        <f t="shared" ca="1" si="32"/>
        <v>49</v>
      </c>
      <c r="N79" s="9">
        <f t="shared" ca="1" si="20"/>
        <v>0.3</v>
      </c>
      <c r="O79" s="9">
        <f t="shared" ca="1" si="33"/>
        <v>0.4</v>
      </c>
      <c r="P79">
        <f t="shared" ca="1" si="34"/>
        <v>433</v>
      </c>
      <c r="Q79" t="str">
        <f t="shared" ca="1" si="22"/>
        <v>LOC-HI-N</v>
      </c>
      <c r="U79" t="str">
        <f t="shared" ca="1" si="16"/>
        <v>insert into Orders values ('Ord-054', '09-Mar-2020', 'Prod-007', 'Farforce', 'Action', 'Diamond Media', 'Autotale Arts', 'PEGI-12', 64, '77 Hours', 'Gold', 100, 65, 0.35, 0.4, 330, 'GLO-ME-N');</v>
      </c>
    </row>
    <row r="80" spans="1:21" x14ac:dyDescent="0.25">
      <c r="A80" s="1" t="s">
        <v>4284</v>
      </c>
      <c r="B80" s="11">
        <f t="shared" ca="1" si="23"/>
        <v>43858</v>
      </c>
      <c r="C80" s="3" t="str">
        <f t="shared" ca="1" si="24"/>
        <v>Prod-028</v>
      </c>
      <c r="D80" s="1" t="str">
        <f t="shared" ca="1" si="25"/>
        <v>Warhunt</v>
      </c>
      <c r="E80" t="str">
        <f t="shared" ca="1" si="19"/>
        <v>RPG</v>
      </c>
      <c r="F80" t="str">
        <f t="shared" ca="1" si="26"/>
        <v>Fairyhive</v>
      </c>
      <c r="G80" t="str">
        <f t="shared" ca="1" si="27"/>
        <v>Moonware Interactive</v>
      </c>
      <c r="H80" t="str">
        <f t="shared" ca="1" si="28"/>
        <v>PEGI-12</v>
      </c>
      <c r="I80" s="6">
        <f t="shared" ca="1" si="29"/>
        <v>74</v>
      </c>
      <c r="J80" t="str">
        <f t="shared" ca="1" si="30"/>
        <v>6 Hours</v>
      </c>
      <c r="K80" t="str">
        <f t="shared" ca="1" si="31"/>
        <v>Gold</v>
      </c>
      <c r="L80" s="7">
        <f t="shared" ca="1" si="21"/>
        <v>120</v>
      </c>
      <c r="M80" s="10">
        <f t="shared" ca="1" si="32"/>
        <v>78</v>
      </c>
      <c r="N80" s="9">
        <f t="shared" ca="1" si="20"/>
        <v>0.35</v>
      </c>
      <c r="O80" s="9">
        <f t="shared" ca="1" si="33"/>
        <v>0.75</v>
      </c>
      <c r="P80">
        <f t="shared" ca="1" si="34"/>
        <v>203</v>
      </c>
      <c r="Q80" t="str">
        <f t="shared" ca="1" si="22"/>
        <v>LOC-LO-Y</v>
      </c>
      <c r="U80" t="str">
        <f t="shared" ca="1" si="16"/>
        <v>insert into Orders values ('Ord-055', '24-Feb-2020', 'Prod-015', 'Hand and Chronicles', 'Adventure', 'Crypticorps', 'Fierce Studios', 'PEGI-18', 95, '77 Hours', 'Gold', 100, 65, 0.35, 0.1, 634, 'LOC-HI-N');</v>
      </c>
    </row>
    <row r="81" spans="1:21" x14ac:dyDescent="0.25">
      <c r="A81" s="1" t="s">
        <v>4285</v>
      </c>
      <c r="B81" s="11">
        <f t="shared" ca="1" si="23"/>
        <v>43958</v>
      </c>
      <c r="C81" s="3" t="str">
        <f t="shared" ca="1" si="24"/>
        <v>Prod-019</v>
      </c>
      <c r="D81" s="1" t="str">
        <f t="shared" ca="1" si="25"/>
        <v>Chronorite</v>
      </c>
      <c r="E81" t="str">
        <f t="shared" ca="1" si="19"/>
        <v>Adventure</v>
      </c>
      <c r="F81" t="str">
        <f t="shared" ca="1" si="26"/>
        <v>Crypticorps</v>
      </c>
      <c r="G81" t="str">
        <f t="shared" ca="1" si="27"/>
        <v>Light Crow Games</v>
      </c>
      <c r="H81" t="str">
        <f t="shared" ca="1" si="28"/>
        <v>PEGI-18</v>
      </c>
      <c r="I81" s="6">
        <f t="shared" ca="1" si="29"/>
        <v>82</v>
      </c>
      <c r="J81" t="str">
        <f t="shared" ca="1" si="30"/>
        <v>43 Hours</v>
      </c>
      <c r="K81" t="str">
        <f t="shared" ca="1" si="31"/>
        <v>Collector</v>
      </c>
      <c r="L81" s="7">
        <f t="shared" ca="1" si="21"/>
        <v>210</v>
      </c>
      <c r="M81" s="10">
        <f t="shared" ca="1" si="32"/>
        <v>115.5</v>
      </c>
      <c r="N81" s="9">
        <f t="shared" ca="1" si="20"/>
        <v>0.45</v>
      </c>
      <c r="O81" s="9">
        <f t="shared" ca="1" si="33"/>
        <v>0.4</v>
      </c>
      <c r="P81">
        <f t="shared" ca="1" si="34"/>
        <v>458</v>
      </c>
      <c r="Q81" t="str">
        <f t="shared" ca="1" si="22"/>
        <v>GLO-LO-N</v>
      </c>
      <c r="U81" t="str">
        <f t="shared" ca="1" si="16"/>
        <v>insert into Orders values ('Ord-056', '14-Jan-2020', 'Prod-024', 'Spirits of Heritage', 'RPG', 'Cliff Acoustics', 'Subdomain Game Studios', 'PEGI-16', 67, '10 Hours', 'Deluxe', 50, 35, 0.3, 0.4, 567, 'LOC-LO-N');</v>
      </c>
    </row>
    <row r="82" spans="1:21" x14ac:dyDescent="0.25">
      <c r="A82" s="1" t="s">
        <v>4286</v>
      </c>
      <c r="B82" s="11">
        <f t="shared" ca="1" si="23"/>
        <v>43905</v>
      </c>
      <c r="C82" s="3" t="str">
        <f t="shared" ca="1" si="24"/>
        <v>Prod-018</v>
      </c>
      <c r="D82" s="1" t="str">
        <f t="shared" ca="1" si="25"/>
        <v>Bloodscape</v>
      </c>
      <c r="E82" t="str">
        <f t="shared" ca="1" si="19"/>
        <v>Adventure</v>
      </c>
      <c r="F82" t="str">
        <f t="shared" ca="1" si="26"/>
        <v>Diamond Media</v>
      </c>
      <c r="G82" t="str">
        <f t="shared" ca="1" si="27"/>
        <v>Golden Boa Interactive</v>
      </c>
      <c r="H82" t="str">
        <f t="shared" ca="1" si="28"/>
        <v>PEGI-18</v>
      </c>
      <c r="I82" s="6">
        <f t="shared" ca="1" si="29"/>
        <v>70</v>
      </c>
      <c r="J82" t="str">
        <f t="shared" ca="1" si="30"/>
        <v>5 Hours</v>
      </c>
      <c r="K82" t="str">
        <f t="shared" ca="1" si="31"/>
        <v>Standard</v>
      </c>
      <c r="L82" s="7">
        <f t="shared" ca="1" si="21"/>
        <v>30</v>
      </c>
      <c r="M82" s="10">
        <f t="shared" ca="1" si="32"/>
        <v>24</v>
      </c>
      <c r="N82" s="9">
        <f t="shared" ca="1" si="20"/>
        <v>0.2</v>
      </c>
      <c r="O82" s="9">
        <f t="shared" ca="1" si="33"/>
        <v>0.1</v>
      </c>
      <c r="P82">
        <f t="shared" ca="1" si="34"/>
        <v>735</v>
      </c>
      <c r="Q82" t="str">
        <f t="shared" ca="1" si="22"/>
        <v>LOC-LO-Y</v>
      </c>
      <c r="U82" t="str">
        <f t="shared" ca="1" si="16"/>
        <v>insert into Orders values ('Ord-057', '22-Jan-2020', 'Prod-010', 'Antilust', 'Action', 'Crypticorps', 'Thunderjam Interactive', 'PEGI-7', 95, '8 Hours', 'Standard', 30, 24, 0.2, 0.75, 286, 'LOC-HI-Y');</v>
      </c>
    </row>
    <row r="83" spans="1:21" x14ac:dyDescent="0.25">
      <c r="A83" s="1" t="s">
        <v>4287</v>
      </c>
      <c r="B83" s="11">
        <f t="shared" ca="1" si="23"/>
        <v>43876</v>
      </c>
      <c r="C83" s="3" t="str">
        <f t="shared" ca="1" si="24"/>
        <v>Prod-033</v>
      </c>
      <c r="D83" s="1" t="str">
        <f t="shared" ca="1" si="25"/>
        <v>Warlords of Turmoil</v>
      </c>
      <c r="E83" t="str">
        <f t="shared" ca="1" si="19"/>
        <v>Strategy</v>
      </c>
      <c r="F83" t="str">
        <f t="shared" ca="1" si="26"/>
        <v>Surprisystems</v>
      </c>
      <c r="G83" t="str">
        <f t="shared" ca="1" si="27"/>
        <v>Rare Spectre Arts</v>
      </c>
      <c r="H83" t="str">
        <f t="shared" ca="1" si="28"/>
        <v>PEGI-18</v>
      </c>
      <c r="I83" s="6">
        <f t="shared" ca="1" si="29"/>
        <v>66</v>
      </c>
      <c r="J83" t="str">
        <f t="shared" ca="1" si="30"/>
        <v>39 Hours</v>
      </c>
      <c r="K83" t="str">
        <f t="shared" ca="1" si="31"/>
        <v>Collector</v>
      </c>
      <c r="L83" s="7">
        <f t="shared" ca="1" si="21"/>
        <v>250</v>
      </c>
      <c r="M83" s="10">
        <f t="shared" ca="1" si="32"/>
        <v>137.5</v>
      </c>
      <c r="N83" s="9">
        <f t="shared" ca="1" si="20"/>
        <v>0.45</v>
      </c>
      <c r="O83" s="9">
        <f t="shared" ca="1" si="33"/>
        <v>0</v>
      </c>
      <c r="P83">
        <f t="shared" ca="1" si="34"/>
        <v>901</v>
      </c>
      <c r="Q83" t="str">
        <f t="shared" ca="1" si="22"/>
        <v>LOC-LO-Y</v>
      </c>
      <c r="U83" t="str">
        <f t="shared" ca="1" si="16"/>
        <v>insert into Orders values ('Ord-058', '09-Feb-2020', 'Prod-031', 'Android Dynasty', 'Strategy', 'Crypticorps', 'Dumb Luck Entertainment', 'PEGI-7', 89, '34 Hours', 'Collector', 220, 121, 0.45, 0.75, 17, 'LOC-HI-N');</v>
      </c>
    </row>
    <row r="84" spans="1:21" x14ac:dyDescent="0.25">
      <c r="A84" s="1" t="s">
        <v>4288</v>
      </c>
      <c r="B84" s="11">
        <f t="shared" ca="1" si="23"/>
        <v>44003</v>
      </c>
      <c r="C84" s="3" t="str">
        <f t="shared" ca="1" si="24"/>
        <v>Prod-013</v>
      </c>
      <c r="D84" s="1" t="str">
        <f t="shared" ca="1" si="25"/>
        <v>Monsters of Nightmares</v>
      </c>
      <c r="E84" t="str">
        <f t="shared" ca="1" si="19"/>
        <v>Adventure</v>
      </c>
      <c r="F84" t="str">
        <f t="shared" ca="1" si="26"/>
        <v>Alphacom</v>
      </c>
      <c r="G84" t="str">
        <f t="shared" ca="1" si="27"/>
        <v>Starsoft Productions</v>
      </c>
      <c r="H84" t="str">
        <f t="shared" ca="1" si="28"/>
        <v>PEGI-18</v>
      </c>
      <c r="I84" s="6">
        <f t="shared" ca="1" si="29"/>
        <v>93</v>
      </c>
      <c r="J84" t="str">
        <f t="shared" ca="1" si="30"/>
        <v>73 Hours</v>
      </c>
      <c r="K84" t="str">
        <f t="shared" ca="1" si="31"/>
        <v>Standard</v>
      </c>
      <c r="L84" s="7">
        <f t="shared" ca="1" si="21"/>
        <v>60</v>
      </c>
      <c r="M84" s="10">
        <f t="shared" ca="1" si="32"/>
        <v>48</v>
      </c>
      <c r="N84" s="9">
        <f t="shared" ca="1" si="20"/>
        <v>0.2</v>
      </c>
      <c r="O84" s="9">
        <f t="shared" ca="1" si="33"/>
        <v>0.4</v>
      </c>
      <c r="P84">
        <f t="shared" ca="1" si="34"/>
        <v>514</v>
      </c>
      <c r="Q84" t="str">
        <f t="shared" ca="1" si="22"/>
        <v>LOC-LO-Y</v>
      </c>
      <c r="U84" t="str">
        <f t="shared" ca="1" si="16"/>
        <v>insert into Orders values ('Ord-059', '17-Mar-2020', 'Prod-006', 'Duty and Control', 'Action', 'Moondustries', 'Filthy Door Interactive', 'PEGI-12', 83, '29 Hours', 'Collector', 300, 165, 0.45, 0.4, 600, 'GLO-HI-Y');</v>
      </c>
    </row>
    <row r="85" spans="1:21" x14ac:dyDescent="0.25">
      <c r="A85" s="1" t="s">
        <v>4289</v>
      </c>
      <c r="B85" s="11">
        <f t="shared" ca="1" si="23"/>
        <v>43992</v>
      </c>
      <c r="C85" s="3" t="str">
        <f t="shared" ca="1" si="24"/>
        <v>Prod-033</v>
      </c>
      <c r="D85" s="1" t="str">
        <f t="shared" ca="1" si="25"/>
        <v>Warlords of Turmoil</v>
      </c>
      <c r="E85" t="str">
        <f t="shared" ca="1" si="19"/>
        <v>Strategy</v>
      </c>
      <c r="F85" t="str">
        <f t="shared" ca="1" si="26"/>
        <v>Alphacom</v>
      </c>
      <c r="G85" t="str">
        <f t="shared" ca="1" si="27"/>
        <v>Fierce Studios</v>
      </c>
      <c r="H85" t="str">
        <f t="shared" ca="1" si="28"/>
        <v>PEGI-16</v>
      </c>
      <c r="I85" s="6">
        <f t="shared" ca="1" si="29"/>
        <v>88</v>
      </c>
      <c r="J85" t="str">
        <f t="shared" ca="1" si="30"/>
        <v>3 Hours</v>
      </c>
      <c r="K85" t="str">
        <f t="shared" ca="1" si="31"/>
        <v>Standard</v>
      </c>
      <c r="L85" s="7">
        <f t="shared" ca="1" si="21"/>
        <v>30</v>
      </c>
      <c r="M85" s="10">
        <f t="shared" ca="1" si="32"/>
        <v>24</v>
      </c>
      <c r="N85" s="9">
        <f t="shared" ca="1" si="20"/>
        <v>0.2</v>
      </c>
      <c r="O85" s="9">
        <f t="shared" ca="1" si="33"/>
        <v>0.4</v>
      </c>
      <c r="P85">
        <f t="shared" ca="1" si="34"/>
        <v>334</v>
      </c>
      <c r="Q85" t="str">
        <f t="shared" ca="1" si="22"/>
        <v>LOC-LO-Y</v>
      </c>
      <c r="U85" t="str">
        <f t="shared" ca="1" si="16"/>
        <v>insert into Orders values ('Ord-060', '02-Jun-2020', 'Prod-022', 'Eternal Harvest', 'RPG', 'Diamond Media', 'Dapper Bull Media', 'PEGI-16', 85, '9 Hours', 'Standard', 60, 48, 0.2, 0.75, 291, 'GLO-LO-Y');</v>
      </c>
    </row>
    <row r="86" spans="1:21" x14ac:dyDescent="0.25">
      <c r="A86" s="1" t="s">
        <v>4290</v>
      </c>
      <c r="B86" s="11">
        <f t="shared" ca="1" si="23"/>
        <v>43894</v>
      </c>
      <c r="C86" s="3" t="str">
        <f t="shared" ca="1" si="24"/>
        <v>Prod-014</v>
      </c>
      <c r="D86" s="1" t="str">
        <f t="shared" ca="1" si="25"/>
        <v>Wizards of Sorrow</v>
      </c>
      <c r="E86" t="str">
        <f t="shared" ca="1" si="19"/>
        <v>Adventure</v>
      </c>
      <c r="F86" t="str">
        <f t="shared" ca="1" si="26"/>
        <v>Surprisystems</v>
      </c>
      <c r="G86" t="str">
        <f t="shared" ca="1" si="27"/>
        <v>Vagabond Interactive</v>
      </c>
      <c r="H86" t="str">
        <f t="shared" ca="1" si="28"/>
        <v>PEGI-12</v>
      </c>
      <c r="I86" s="6">
        <f t="shared" ca="1" si="29"/>
        <v>100</v>
      </c>
      <c r="J86" t="str">
        <f t="shared" ca="1" si="30"/>
        <v>48 Hours</v>
      </c>
      <c r="K86" t="str">
        <f t="shared" ca="1" si="31"/>
        <v>Gold</v>
      </c>
      <c r="L86" s="7">
        <f t="shared" ca="1" si="21"/>
        <v>110</v>
      </c>
      <c r="M86" s="10">
        <f t="shared" ca="1" si="32"/>
        <v>71.5</v>
      </c>
      <c r="N86" s="9">
        <f t="shared" ca="1" si="20"/>
        <v>0.35</v>
      </c>
      <c r="O86" s="9">
        <f t="shared" ca="1" si="33"/>
        <v>0.4</v>
      </c>
      <c r="P86">
        <f t="shared" ca="1" si="34"/>
        <v>554</v>
      </c>
      <c r="Q86" t="str">
        <f t="shared" ca="1" si="22"/>
        <v>LOC-HI-Y</v>
      </c>
      <c r="U86" t="str">
        <f t="shared" ca="1" si="16"/>
        <v>insert into Orders values ('Ord-061', '22-May-2020', 'Prod-011', 'Heroic Legacy', 'Adventure', 'Diamond Media', 'Scary Lizard Productions', 'PEGI-18', 56, '10 Hours', 'Collector', 240, 132, 0.45, 0.1, 739, 'GLO-HI-Y');</v>
      </c>
    </row>
    <row r="87" spans="1:21" x14ac:dyDescent="0.25">
      <c r="A87" s="1" t="s">
        <v>4291</v>
      </c>
      <c r="B87" s="11">
        <f t="shared" ca="1" si="23"/>
        <v>43984</v>
      </c>
      <c r="C87" s="3" t="str">
        <f t="shared" ca="1" si="24"/>
        <v>Prod-029</v>
      </c>
      <c r="D87" s="1" t="str">
        <f t="shared" ca="1" si="25"/>
        <v>Magechild</v>
      </c>
      <c r="E87" t="str">
        <f t="shared" ca="1" si="19"/>
        <v>RPG</v>
      </c>
      <c r="F87" t="str">
        <f t="shared" ca="1" si="26"/>
        <v>Lionshine</v>
      </c>
      <c r="G87" t="str">
        <f t="shared" ca="1" si="27"/>
        <v>Moonware Interactive</v>
      </c>
      <c r="H87" t="str">
        <f t="shared" ca="1" si="28"/>
        <v>PEGI-18</v>
      </c>
      <c r="I87" s="6">
        <f t="shared" ca="1" si="29"/>
        <v>58</v>
      </c>
      <c r="J87" t="str">
        <f t="shared" ca="1" si="30"/>
        <v>5 Hours</v>
      </c>
      <c r="K87" t="str">
        <f t="shared" ca="1" si="31"/>
        <v>Collector</v>
      </c>
      <c r="L87" s="7">
        <f t="shared" ca="1" si="21"/>
        <v>250</v>
      </c>
      <c r="M87" s="10">
        <f t="shared" ca="1" si="32"/>
        <v>137.5</v>
      </c>
      <c r="N87" s="9">
        <f t="shared" ca="1" si="20"/>
        <v>0.45</v>
      </c>
      <c r="O87" s="9">
        <f t="shared" ca="1" si="33"/>
        <v>0.4</v>
      </c>
      <c r="P87">
        <f t="shared" ca="1" si="34"/>
        <v>443</v>
      </c>
      <c r="Q87" t="str">
        <f t="shared" ca="1" si="22"/>
        <v>LOC-HI-Y</v>
      </c>
      <c r="U87" t="str">
        <f t="shared" ca="1" si="16"/>
        <v>insert into Orders values ('Ord-062', '14-Feb-2020', 'Prod-021', 'Infernal Faction', 'RPG', 'Moondustries', 'Dapper Bull Media', 'PEGI-7', 100, '32 Hours', 'Collector', 200, 110, 0.45, 0.4, 304, 'GLO-LO-Y');</v>
      </c>
    </row>
    <row r="88" spans="1:21" x14ac:dyDescent="0.25">
      <c r="A88" s="1" t="s">
        <v>4292</v>
      </c>
      <c r="B88" s="11">
        <f t="shared" ca="1" si="23"/>
        <v>43915</v>
      </c>
      <c r="C88" s="3" t="str">
        <f t="shared" ca="1" si="24"/>
        <v>Prod-001</v>
      </c>
      <c r="D88" s="1" t="str">
        <f t="shared" ca="1" si="25"/>
        <v>Red Omen</v>
      </c>
      <c r="E88" t="str">
        <f t="shared" ca="1" si="19"/>
        <v>Action</v>
      </c>
      <c r="F88" t="str">
        <f t="shared" ca="1" si="26"/>
        <v>Moondustries</v>
      </c>
      <c r="G88" t="str">
        <f t="shared" ca="1" si="27"/>
        <v>Dapper Bull Media</v>
      </c>
      <c r="H88" t="str">
        <f t="shared" ca="1" si="28"/>
        <v>PEGI-12</v>
      </c>
      <c r="I88" s="6">
        <f t="shared" ca="1" si="29"/>
        <v>75</v>
      </c>
      <c r="J88" t="str">
        <f t="shared" ca="1" si="30"/>
        <v>46 Hours</v>
      </c>
      <c r="K88" t="str">
        <f t="shared" ca="1" si="31"/>
        <v>Standard</v>
      </c>
      <c r="L88" s="7">
        <f t="shared" ca="1" si="21"/>
        <v>30</v>
      </c>
      <c r="M88" s="10">
        <f t="shared" ca="1" si="32"/>
        <v>24</v>
      </c>
      <c r="N88" s="9">
        <f t="shared" ca="1" si="20"/>
        <v>0.2</v>
      </c>
      <c r="O88" s="9">
        <f t="shared" ca="1" si="33"/>
        <v>0.1</v>
      </c>
      <c r="P88">
        <f t="shared" ca="1" si="34"/>
        <v>685</v>
      </c>
      <c r="Q88" t="str">
        <f t="shared" ca="1" si="22"/>
        <v>GLO-HI-N</v>
      </c>
      <c r="U88" t="str">
        <f t="shared" ca="1" si="16"/>
        <v>insert into Orders values ('Ord-063', '08-Apr-2020', 'Prod-007', 'Farforce', 'Action', 'Heartpoint', 'Fierce Studios', 'PEGI-18', 71, '46 Hours', 'Standard', 30, 24, 0.2, 0.75, 56, 'LOC-ME-Y');</v>
      </c>
    </row>
    <row r="89" spans="1:21" x14ac:dyDescent="0.25">
      <c r="A89" s="1" t="s">
        <v>4293</v>
      </c>
      <c r="B89" s="11">
        <f t="shared" ca="1" si="23"/>
        <v>43935</v>
      </c>
      <c r="C89" s="3" t="str">
        <f t="shared" ca="1" si="24"/>
        <v>Prod-007</v>
      </c>
      <c r="D89" s="1" t="str">
        <f t="shared" ca="1" si="25"/>
        <v>Farforce</v>
      </c>
      <c r="E89" t="str">
        <f t="shared" ca="1" si="19"/>
        <v>Action</v>
      </c>
      <c r="F89" t="str">
        <f t="shared" ca="1" si="26"/>
        <v>Crypticorps</v>
      </c>
      <c r="G89" t="str">
        <f t="shared" ca="1" si="27"/>
        <v>Numb Kitten Productions</v>
      </c>
      <c r="H89" t="str">
        <f t="shared" ca="1" si="28"/>
        <v>PEGI-18</v>
      </c>
      <c r="I89" s="6">
        <f t="shared" ca="1" si="29"/>
        <v>70</v>
      </c>
      <c r="J89" t="str">
        <f t="shared" ca="1" si="30"/>
        <v>13 Hours</v>
      </c>
      <c r="K89" t="str">
        <f t="shared" ca="1" si="31"/>
        <v>Gold</v>
      </c>
      <c r="L89" s="7">
        <f t="shared" ca="1" si="21"/>
        <v>100</v>
      </c>
      <c r="M89" s="10">
        <f t="shared" ca="1" si="32"/>
        <v>65</v>
      </c>
      <c r="N89" s="9">
        <f t="shared" ca="1" si="20"/>
        <v>0.35</v>
      </c>
      <c r="O89" s="9">
        <f t="shared" ca="1" si="33"/>
        <v>0.75</v>
      </c>
      <c r="P89">
        <f t="shared" ca="1" si="34"/>
        <v>176</v>
      </c>
      <c r="Q89" t="str">
        <f t="shared" ca="1" si="22"/>
        <v>GLO-ME-Y</v>
      </c>
      <c r="U89" t="str">
        <f t="shared" ca="1" si="16"/>
        <v>insert into Orders values ('Ord-064', '28-May-2020', 'Prod-032', 'Blood Cataclysm', 'Strategy', 'Alphacom', 'Honest Door Entertainment', 'PEGI-3', 55, '24 Hours', 'Standard', 20, 16, 0.2, 0.75, 196, 'GLO-LO-N');</v>
      </c>
    </row>
    <row r="90" spans="1:21" x14ac:dyDescent="0.25">
      <c r="A90" s="1" t="s">
        <v>4294</v>
      </c>
      <c r="B90" s="11">
        <f t="shared" ca="1" si="23"/>
        <v>43904</v>
      </c>
      <c r="C90" s="3" t="str">
        <f t="shared" ca="1" si="24"/>
        <v>Prod-006</v>
      </c>
      <c r="D90" s="1" t="str">
        <f t="shared" ca="1" si="25"/>
        <v>Duty and Control</v>
      </c>
      <c r="E90" t="str">
        <f t="shared" ca="1" si="19"/>
        <v>Action</v>
      </c>
      <c r="F90" t="str">
        <f t="shared" ca="1" si="26"/>
        <v>Alphacom</v>
      </c>
      <c r="G90" t="str">
        <f t="shared" ca="1" si="27"/>
        <v>Rare Spectre Arts</v>
      </c>
      <c r="H90" t="str">
        <f t="shared" ca="1" si="28"/>
        <v>PEGI-7</v>
      </c>
      <c r="I90" s="6">
        <f t="shared" ca="1" si="29"/>
        <v>99</v>
      </c>
      <c r="J90" t="str">
        <f t="shared" ca="1" si="30"/>
        <v>34 Hours</v>
      </c>
      <c r="K90" t="str">
        <f t="shared" ca="1" si="31"/>
        <v>Standard</v>
      </c>
      <c r="L90" s="7">
        <f t="shared" ca="1" si="21"/>
        <v>20</v>
      </c>
      <c r="M90" s="10">
        <f t="shared" ca="1" si="32"/>
        <v>16</v>
      </c>
      <c r="N90" s="9">
        <f t="shared" ca="1" si="20"/>
        <v>0.2</v>
      </c>
      <c r="O90" s="9">
        <f t="shared" ca="1" si="33"/>
        <v>0.1</v>
      </c>
      <c r="P90">
        <f t="shared" ca="1" si="34"/>
        <v>680</v>
      </c>
      <c r="Q90" t="str">
        <f t="shared" ca="1" si="22"/>
        <v>GLO-ME-N</v>
      </c>
      <c r="U90" t="str">
        <f t="shared" ca="1" si="16"/>
        <v>insert into Orders values ('Ord-065', '07-Feb-2020', 'Prod-021', 'Infernal Faction', 'RPG', 'Moondustries', 'Subdomain Game Studios', 'PEGI-16', 53, '6 Hours', 'Standard', 20, 16, 0.2, 0.75, 251, 'LOC-ME-Y');</v>
      </c>
    </row>
    <row r="91" spans="1:21" x14ac:dyDescent="0.25">
      <c r="A91" s="1" t="s">
        <v>4295</v>
      </c>
      <c r="B91" s="11">
        <f t="shared" ca="1" si="23"/>
        <v>43855</v>
      </c>
      <c r="C91" s="3" t="str">
        <f t="shared" ca="1" si="24"/>
        <v>Prod-022</v>
      </c>
      <c r="D91" s="1" t="str">
        <f t="shared" ca="1" si="25"/>
        <v>Eternal Harvest</v>
      </c>
      <c r="E91" t="str">
        <f t="shared" ca="1" si="19"/>
        <v>RPG</v>
      </c>
      <c r="F91" t="str">
        <f t="shared" ca="1" si="26"/>
        <v>Alphacom</v>
      </c>
      <c r="G91" t="str">
        <f t="shared" ca="1" si="27"/>
        <v>Numb Kitten Productions</v>
      </c>
      <c r="H91" t="str">
        <f t="shared" ca="1" si="28"/>
        <v>PEGI-12</v>
      </c>
      <c r="I91" s="6">
        <f t="shared" ca="1" si="29"/>
        <v>91</v>
      </c>
      <c r="J91" t="str">
        <f t="shared" ca="1" si="30"/>
        <v>50 Hours</v>
      </c>
      <c r="K91" t="str">
        <f t="shared" ca="1" si="31"/>
        <v>Standard</v>
      </c>
      <c r="L91" s="7">
        <f t="shared" ca="1" si="21"/>
        <v>50</v>
      </c>
      <c r="M91" s="10">
        <f t="shared" ca="1" si="32"/>
        <v>40</v>
      </c>
      <c r="N91" s="9">
        <f t="shared" ca="1" si="20"/>
        <v>0.2</v>
      </c>
      <c r="O91" s="9">
        <f t="shared" ca="1" si="33"/>
        <v>0.4</v>
      </c>
      <c r="P91">
        <f t="shared" ca="1" si="34"/>
        <v>433</v>
      </c>
      <c r="Q91" t="str">
        <f t="shared" ca="1" si="22"/>
        <v>LOC-ME-N</v>
      </c>
      <c r="U91" t="str">
        <f t="shared" ref="U91:U125" ca="1" si="35">insertinto(A67:Q67,$AB$1:$AC$17,"Orders")</f>
        <v>insert into Orders values ('Ord-066', '09-Feb-2020', 'Prod-040', 'Netherheart', 'Strategy', 'Crypticorps', 'Pretty Mage Arts', 'PEGI-12', 53, '80 Hours', 'Collector', 200, 110, 0.45, 0.1, 639, 'GLO-ME-N');</v>
      </c>
    </row>
    <row r="92" spans="1:21" x14ac:dyDescent="0.25">
      <c r="A92" s="1" t="s">
        <v>4296</v>
      </c>
      <c r="B92" s="11">
        <f t="shared" ca="1" si="23"/>
        <v>43833</v>
      </c>
      <c r="C92" s="3" t="str">
        <f t="shared" ca="1" si="24"/>
        <v>Prod-030</v>
      </c>
      <c r="D92" s="1" t="str">
        <f t="shared" ca="1" si="25"/>
        <v>Arcanepath</v>
      </c>
      <c r="E92" t="str">
        <f t="shared" ca="1" si="19"/>
        <v>RPG</v>
      </c>
      <c r="F92" t="str">
        <f t="shared" ca="1" si="26"/>
        <v>Heartpoint</v>
      </c>
      <c r="G92" t="str">
        <f t="shared" ca="1" si="27"/>
        <v>Blind Raccoon Productions</v>
      </c>
      <c r="H92" t="str">
        <f t="shared" ca="1" si="28"/>
        <v>PEGI-3</v>
      </c>
      <c r="I92" s="6">
        <f t="shared" ca="1" si="29"/>
        <v>63</v>
      </c>
      <c r="J92" t="str">
        <f t="shared" ca="1" si="30"/>
        <v>80 Hours</v>
      </c>
      <c r="K92" t="str">
        <f t="shared" ca="1" si="31"/>
        <v>Collector</v>
      </c>
      <c r="L92" s="7">
        <f t="shared" ca="1" si="21"/>
        <v>290</v>
      </c>
      <c r="M92" s="10">
        <f t="shared" ca="1" si="32"/>
        <v>159.5</v>
      </c>
      <c r="N92" s="9">
        <f t="shared" ca="1" si="20"/>
        <v>0.45</v>
      </c>
      <c r="O92" s="9">
        <f t="shared" ca="1" si="33"/>
        <v>0</v>
      </c>
      <c r="P92">
        <f t="shared" ca="1" si="34"/>
        <v>977</v>
      </c>
      <c r="Q92" t="str">
        <f t="shared" ca="1" si="22"/>
        <v>GLO-HI-N</v>
      </c>
      <c r="U92" t="str">
        <f t="shared" ca="1" si="35"/>
        <v>insert into Orders values ('Ord-067', '17-Feb-2020', 'Prod-017', 'Madscape', 'Adventure', 'Fairyhive', 'Fierce Studios', 'PEGI-12', 89, '5 Hours', 'Standard', 20, 16, 0.2, 0.4, 482, 'LOC-LO-Y');</v>
      </c>
    </row>
    <row r="93" spans="1:21" x14ac:dyDescent="0.25">
      <c r="A93" s="1" t="s">
        <v>4297</v>
      </c>
      <c r="B93" s="11">
        <f t="shared" ca="1" si="23"/>
        <v>43833</v>
      </c>
      <c r="C93" s="3" t="str">
        <f t="shared" ca="1" si="24"/>
        <v>Prod-009</v>
      </c>
      <c r="D93" s="1" t="str">
        <f t="shared" ca="1" si="25"/>
        <v>Everrain</v>
      </c>
      <c r="E93" t="str">
        <f t="shared" ca="1" si="19"/>
        <v>Action</v>
      </c>
      <c r="F93" t="str">
        <f t="shared" ca="1" si="26"/>
        <v>Crypticorps</v>
      </c>
      <c r="G93" t="str">
        <f t="shared" ca="1" si="27"/>
        <v>Subdomain Game Studios</v>
      </c>
      <c r="H93" t="str">
        <f t="shared" ca="1" si="28"/>
        <v>PEGI-18</v>
      </c>
      <c r="I93" s="6">
        <f t="shared" ca="1" si="29"/>
        <v>55</v>
      </c>
      <c r="J93" t="str">
        <f t="shared" ca="1" si="30"/>
        <v>51 Hours</v>
      </c>
      <c r="K93" t="str">
        <f t="shared" ca="1" si="31"/>
        <v>Collector</v>
      </c>
      <c r="L93" s="7">
        <f t="shared" ca="1" si="21"/>
        <v>190</v>
      </c>
      <c r="M93" s="10">
        <f t="shared" ca="1" si="32"/>
        <v>104.5</v>
      </c>
      <c r="N93" s="9">
        <f t="shared" ca="1" si="20"/>
        <v>0.45</v>
      </c>
      <c r="O93" s="9">
        <f t="shared" ca="1" si="33"/>
        <v>0.75</v>
      </c>
      <c r="P93">
        <f t="shared" ca="1" si="34"/>
        <v>127</v>
      </c>
      <c r="Q93" t="str">
        <f t="shared" ca="1" si="22"/>
        <v>LOC-LO-Y</v>
      </c>
      <c r="U93" t="str">
        <f t="shared" ca="1" si="35"/>
        <v>insert into Orders values ('Ord-068', '10-Apr-2020', 'Prod-012', 'Dark Sect', 'Adventure', 'Lionshine', 'Blind Raccoon Productions', 'PEGI-16', 67, '4 Hours', 'Gold', 80, 52, 0.35, 0, 990, 'GLO-LO-Y');</v>
      </c>
    </row>
    <row r="94" spans="1:21" x14ac:dyDescent="0.25">
      <c r="A94" s="1" t="s">
        <v>4298</v>
      </c>
      <c r="B94" s="11">
        <f t="shared" ca="1" si="23"/>
        <v>43979</v>
      </c>
      <c r="C94" s="3" t="str">
        <f t="shared" ca="1" si="24"/>
        <v>Prod-015</v>
      </c>
      <c r="D94" s="1" t="str">
        <f t="shared" ca="1" si="25"/>
        <v>Hand and Chronicles</v>
      </c>
      <c r="E94" t="str">
        <f t="shared" ca="1" si="19"/>
        <v>Adventure</v>
      </c>
      <c r="F94" t="str">
        <f t="shared" ca="1" si="26"/>
        <v>Fairyhive</v>
      </c>
      <c r="G94" t="str">
        <f t="shared" ca="1" si="27"/>
        <v>Autotale Arts</v>
      </c>
      <c r="H94" t="str">
        <f t="shared" ca="1" si="28"/>
        <v>PEGI-12</v>
      </c>
      <c r="I94" s="6">
        <f t="shared" ca="1" si="29"/>
        <v>75</v>
      </c>
      <c r="J94" t="str">
        <f t="shared" ca="1" si="30"/>
        <v>71 Hours</v>
      </c>
      <c r="K94" t="str">
        <f t="shared" ca="1" si="31"/>
        <v>Deluxe</v>
      </c>
      <c r="L94" s="7">
        <f t="shared" ca="1" si="21"/>
        <v>70</v>
      </c>
      <c r="M94" s="10">
        <f t="shared" ca="1" si="32"/>
        <v>49</v>
      </c>
      <c r="N94" s="9">
        <f t="shared" ca="1" si="20"/>
        <v>0.3</v>
      </c>
      <c r="O94" s="9">
        <f t="shared" ca="1" si="33"/>
        <v>0</v>
      </c>
      <c r="P94">
        <f t="shared" ca="1" si="34"/>
        <v>852</v>
      </c>
      <c r="Q94" t="str">
        <f t="shared" ca="1" si="22"/>
        <v>GLO-ME-Y</v>
      </c>
      <c r="U94" t="str">
        <f t="shared" ca="1" si="35"/>
        <v>insert into Orders values ('Ord-069', '02-Jan-2020', 'Prod-035', 'Legions and Warlords', 'Strategy', 'Fairyhive', 'Vagabond Interactive', 'PEGI-18', 77, '25 Hours', 'Deluxe', 60, 42, 0.3, 0, 920, 'LOC-LO-N');</v>
      </c>
    </row>
    <row r="95" spans="1:21" x14ac:dyDescent="0.25">
      <c r="A95" s="1" t="s">
        <v>4299</v>
      </c>
      <c r="B95" s="11">
        <f t="shared" ca="1" si="23"/>
        <v>43915</v>
      </c>
      <c r="C95" s="3" t="str">
        <f t="shared" ca="1" si="24"/>
        <v>Prod-004</v>
      </c>
      <c r="D95" s="1" t="str">
        <f t="shared" ca="1" si="25"/>
        <v>Vengeance of Trickery</v>
      </c>
      <c r="E95" t="str">
        <f t="shared" ca="1" si="19"/>
        <v>Action</v>
      </c>
      <c r="F95" t="str">
        <f t="shared" ca="1" si="26"/>
        <v>Lionshine</v>
      </c>
      <c r="G95" t="str">
        <f t="shared" ca="1" si="27"/>
        <v>Vagabond Interactive</v>
      </c>
      <c r="H95" t="str">
        <f t="shared" ca="1" si="28"/>
        <v>PEGI-16</v>
      </c>
      <c r="I95" s="6">
        <f t="shared" ca="1" si="29"/>
        <v>59</v>
      </c>
      <c r="J95" t="str">
        <f t="shared" ca="1" si="30"/>
        <v>46 Hours</v>
      </c>
      <c r="K95" t="str">
        <f t="shared" ca="1" si="31"/>
        <v>Deluxe</v>
      </c>
      <c r="L95" s="7">
        <f t="shared" ca="1" si="21"/>
        <v>50</v>
      </c>
      <c r="M95" s="10">
        <f t="shared" ca="1" si="32"/>
        <v>35</v>
      </c>
      <c r="N95" s="9">
        <f t="shared" ca="1" si="20"/>
        <v>0.3</v>
      </c>
      <c r="O95" s="9">
        <f t="shared" ca="1" si="33"/>
        <v>0</v>
      </c>
      <c r="P95">
        <f t="shared" ca="1" si="34"/>
        <v>949</v>
      </c>
      <c r="Q95" t="str">
        <f t="shared" ca="1" si="22"/>
        <v>GLO-LO-Y</v>
      </c>
      <c r="U95" t="str">
        <f t="shared" ca="1" si="35"/>
        <v>insert into Orders values ('Ord-070', '24-Jun-2020', 'Prod-003', 'Pillage of Opportunity', 'Action', 'Alphacom', 'Subdomain Game Studios', 'PEGI-18', 75, '73 Hours', 'Gold', 70, 45.5, 0.35, 0.75, 233, 'GLO-HI-N');</v>
      </c>
    </row>
    <row r="96" spans="1:21" x14ac:dyDescent="0.25">
      <c r="A96" s="1" t="s">
        <v>4300</v>
      </c>
      <c r="B96" s="11">
        <f t="shared" ca="1" si="23"/>
        <v>44008</v>
      </c>
      <c r="C96" s="3" t="str">
        <f t="shared" ca="1" si="24"/>
        <v>Prod-011</v>
      </c>
      <c r="D96" s="1" t="str">
        <f t="shared" ca="1" si="25"/>
        <v>Heroic Legacy</v>
      </c>
      <c r="E96" t="str">
        <f t="shared" ca="1" si="19"/>
        <v>Adventure</v>
      </c>
      <c r="F96" t="str">
        <f t="shared" ca="1" si="26"/>
        <v>Alphacom</v>
      </c>
      <c r="G96" t="str">
        <f t="shared" ca="1" si="27"/>
        <v>Thunderjam Interactive</v>
      </c>
      <c r="H96" t="str">
        <f t="shared" ca="1" si="28"/>
        <v>PEGI-3</v>
      </c>
      <c r="I96" s="6">
        <f t="shared" ca="1" si="29"/>
        <v>92</v>
      </c>
      <c r="J96" t="str">
        <f t="shared" ca="1" si="30"/>
        <v>79 Hours</v>
      </c>
      <c r="K96" t="str">
        <f t="shared" ca="1" si="31"/>
        <v>Standard</v>
      </c>
      <c r="L96" s="7">
        <f t="shared" ca="1" si="21"/>
        <v>30</v>
      </c>
      <c r="M96" s="10">
        <f t="shared" ca="1" si="32"/>
        <v>24</v>
      </c>
      <c r="N96" s="9">
        <f t="shared" ca="1" si="20"/>
        <v>0.2</v>
      </c>
      <c r="O96" s="9">
        <f t="shared" ca="1" si="33"/>
        <v>0</v>
      </c>
      <c r="P96">
        <f t="shared" ca="1" si="34"/>
        <v>923</v>
      </c>
      <c r="Q96" t="str">
        <f t="shared" ca="1" si="22"/>
        <v>GLO-HI-Y</v>
      </c>
      <c r="U96" t="str">
        <f t="shared" ca="1" si="35"/>
        <v>insert into Orders values ('Ord-071', '09-Apr-2020', 'Prod-033', 'Warlords of Turmoil', 'Strategy', 'Moondustries', 'Dumb Luck Entertainment', 'PEGI-12', 54, '22 Hours', 'Standard', 40, 32, 0.2, 0.1, 787, 'LOC-ME-Y');</v>
      </c>
    </row>
    <row r="97" spans="1:21" x14ac:dyDescent="0.25">
      <c r="A97" s="1" t="s">
        <v>4301</v>
      </c>
      <c r="B97" s="11">
        <f t="shared" ca="1" si="23"/>
        <v>43991</v>
      </c>
      <c r="C97" s="3" t="str">
        <f t="shared" ca="1" si="24"/>
        <v>Prod-015</v>
      </c>
      <c r="D97" s="1" t="str">
        <f t="shared" ca="1" si="25"/>
        <v>Hand and Chronicles</v>
      </c>
      <c r="E97" t="str">
        <f t="shared" ca="1" si="19"/>
        <v>Adventure</v>
      </c>
      <c r="F97" t="str">
        <f t="shared" ca="1" si="26"/>
        <v>Lionshine</v>
      </c>
      <c r="G97" t="str">
        <f t="shared" ca="1" si="27"/>
        <v>Fierce Studios</v>
      </c>
      <c r="H97" t="str">
        <f t="shared" ca="1" si="28"/>
        <v>PEGI-12</v>
      </c>
      <c r="I97" s="6">
        <f t="shared" ca="1" si="29"/>
        <v>58</v>
      </c>
      <c r="J97" t="str">
        <f t="shared" ca="1" si="30"/>
        <v>12 Hours</v>
      </c>
      <c r="K97" t="str">
        <f t="shared" ca="1" si="31"/>
        <v>Gold</v>
      </c>
      <c r="L97" s="7">
        <f t="shared" ca="1" si="21"/>
        <v>110</v>
      </c>
      <c r="M97" s="10">
        <f t="shared" ca="1" si="32"/>
        <v>71.5</v>
      </c>
      <c r="N97" s="9">
        <f t="shared" ca="1" si="20"/>
        <v>0.35</v>
      </c>
      <c r="O97" s="9">
        <f t="shared" ca="1" si="33"/>
        <v>0</v>
      </c>
      <c r="P97">
        <f t="shared" ca="1" si="34"/>
        <v>825</v>
      </c>
      <c r="Q97" t="str">
        <f t="shared" ca="1" si="22"/>
        <v>LOC-HI-N</v>
      </c>
      <c r="U97" t="str">
        <f t="shared" ca="1" si="35"/>
        <v>insert into Orders values ('Ord-072', '24-Feb-2020', 'Prod-015', 'Hand and Chronicles', 'Adventure', 'Cliff Acoustics', 'Thunderjam Interactive', 'PEGI-3', 58, '35 Hours', 'Gold', 70, 45.5, 0.35, 0.4, 316, 'GLO-LO-N');</v>
      </c>
    </row>
    <row r="98" spans="1:21" x14ac:dyDescent="0.25">
      <c r="A98" s="1" t="s">
        <v>4302</v>
      </c>
      <c r="B98" s="11">
        <f t="shared" ca="1" si="23"/>
        <v>43935</v>
      </c>
      <c r="C98" s="3" t="str">
        <f t="shared" ca="1" si="24"/>
        <v>Prod-012</v>
      </c>
      <c r="D98" s="1" t="str">
        <f t="shared" ca="1" si="25"/>
        <v>Dark Sect</v>
      </c>
      <c r="E98" t="str">
        <f t="shared" ca="1" si="19"/>
        <v>Adventure</v>
      </c>
      <c r="F98" t="str">
        <f t="shared" ca="1" si="26"/>
        <v>Cliff Acoustics</v>
      </c>
      <c r="G98" t="str">
        <f t="shared" ca="1" si="27"/>
        <v>Thunderjam Interactive</v>
      </c>
      <c r="H98" t="str">
        <f t="shared" ca="1" si="28"/>
        <v>PEGI-12</v>
      </c>
      <c r="I98" s="6">
        <f t="shared" ca="1" si="29"/>
        <v>81</v>
      </c>
      <c r="J98" t="str">
        <f t="shared" ca="1" si="30"/>
        <v>54 Hours</v>
      </c>
      <c r="K98" t="str">
        <f t="shared" ca="1" si="31"/>
        <v>Collector</v>
      </c>
      <c r="L98" s="7">
        <f t="shared" ref="L98:L101" ca="1" si="36">IF(K98 =$Y$13, r_uniform(20,60,-1), IF(K98 =$Y$14, r_uniform(40,80,-1),IF(K98 =$Y$15, r_uniform(60,120,-1),IF(K98 =$Y$16, r_uniform(100,300,-1)))))</f>
        <v>220</v>
      </c>
      <c r="M98" s="10">
        <f t="shared" ca="1" si="32"/>
        <v>121</v>
      </c>
      <c r="N98" s="9">
        <f t="shared" ca="1" si="20"/>
        <v>0.45</v>
      </c>
      <c r="O98" s="9">
        <f t="shared" ca="1" si="33"/>
        <v>0.4</v>
      </c>
      <c r="P98">
        <f t="shared" ca="1" si="34"/>
        <v>559</v>
      </c>
      <c r="Q98" t="str">
        <f t="shared" ca="1" si="22"/>
        <v>GLO-ME-Y</v>
      </c>
      <c r="U98" t="str">
        <f t="shared" ca="1" si="35"/>
        <v>insert into Orders values ('Ord-073', '17-Apr-2020', 'Prod-021', 'Infernal Faction', 'RPG', 'Alphacom', 'Dapper Bull Media', 'PEGI-12', 84, '45 Hours', 'Deluxe', 40, 28, 0.3, 0.4, 401, 'LOC-ME-N');</v>
      </c>
    </row>
    <row r="99" spans="1:21" x14ac:dyDescent="0.25">
      <c r="A99" s="1" t="s">
        <v>4303</v>
      </c>
      <c r="B99" s="11">
        <f t="shared" ca="1" si="23"/>
        <v>43858</v>
      </c>
      <c r="C99" s="3" t="str">
        <f t="shared" ca="1" si="24"/>
        <v>Prod-035</v>
      </c>
      <c r="D99" s="1" t="str">
        <f t="shared" ca="1" si="25"/>
        <v>Legions and Warlords</v>
      </c>
      <c r="E99" t="str">
        <f t="shared" ca="1" si="19"/>
        <v>Strategy</v>
      </c>
      <c r="F99" t="str">
        <f t="shared" ca="1" si="26"/>
        <v>Diamond Media</v>
      </c>
      <c r="G99" t="str">
        <f t="shared" ca="1" si="27"/>
        <v>Honest Door Entertainment</v>
      </c>
      <c r="H99" t="str">
        <f t="shared" ca="1" si="28"/>
        <v>PEGI-7</v>
      </c>
      <c r="I99" s="6">
        <f t="shared" ca="1" si="29"/>
        <v>84</v>
      </c>
      <c r="J99" t="str">
        <f t="shared" ca="1" si="30"/>
        <v>25 Hours</v>
      </c>
      <c r="K99" t="str">
        <f t="shared" ca="1" si="31"/>
        <v>Gold</v>
      </c>
      <c r="L99" s="7">
        <f t="shared" ca="1" si="36"/>
        <v>120</v>
      </c>
      <c r="M99" s="10">
        <f t="shared" ca="1" si="32"/>
        <v>78</v>
      </c>
      <c r="N99" s="9">
        <f t="shared" ca="1" si="20"/>
        <v>0.35</v>
      </c>
      <c r="O99" s="9">
        <f t="shared" ca="1" si="33"/>
        <v>0.1</v>
      </c>
      <c r="P99">
        <f t="shared" ca="1" si="34"/>
        <v>638</v>
      </c>
      <c r="Q99" t="str">
        <f t="shared" ca="1" si="22"/>
        <v>LOC-HI-Y</v>
      </c>
      <c r="U99" t="str">
        <f t="shared" ca="1" si="35"/>
        <v>insert into Orders values ('Ord-074', '14-Jun-2020', 'Prod-018', 'Bloodscape', 'Adventure', 'Alphacom', 'Dumb Luck Entertainment', 'PEGI-12', 52, '58 Hours', 'Deluxe', 60, 42, 0.3, 0.75, 209, 'LOC-ME-Y');</v>
      </c>
    </row>
    <row r="100" spans="1:21" x14ac:dyDescent="0.25">
      <c r="A100" s="1" t="s">
        <v>4304</v>
      </c>
      <c r="B100" s="11">
        <f t="shared" ca="1" si="23"/>
        <v>43943</v>
      </c>
      <c r="C100" s="3" t="str">
        <f t="shared" ca="1" si="24"/>
        <v>Prod-012</v>
      </c>
      <c r="D100" s="1" t="str">
        <f t="shared" ca="1" si="25"/>
        <v>Dark Sect</v>
      </c>
      <c r="E100" t="str">
        <f t="shared" ca="1" si="19"/>
        <v>Adventure</v>
      </c>
      <c r="F100" t="str">
        <f t="shared" ca="1" si="26"/>
        <v>Moondustries</v>
      </c>
      <c r="G100" t="str">
        <f t="shared" ca="1" si="27"/>
        <v>Vagabond Interactive</v>
      </c>
      <c r="H100" t="str">
        <f t="shared" ca="1" si="28"/>
        <v>PEGI-18</v>
      </c>
      <c r="I100" s="6">
        <f t="shared" ca="1" si="29"/>
        <v>95</v>
      </c>
      <c r="J100" t="str">
        <f t="shared" ca="1" si="30"/>
        <v>7 Hours</v>
      </c>
      <c r="K100" t="str">
        <f t="shared" ca="1" si="31"/>
        <v>Collector</v>
      </c>
      <c r="L100" s="7">
        <f t="shared" ca="1" si="36"/>
        <v>100</v>
      </c>
      <c r="M100" s="10">
        <f t="shared" ca="1" si="32"/>
        <v>55</v>
      </c>
      <c r="N100" s="9">
        <f t="shared" ca="1" si="20"/>
        <v>0.45</v>
      </c>
      <c r="O100" s="9">
        <f t="shared" ca="1" si="33"/>
        <v>0.4</v>
      </c>
      <c r="P100">
        <f t="shared" ca="1" si="34"/>
        <v>537</v>
      </c>
      <c r="Q100" t="str">
        <f t="shared" ca="1" si="22"/>
        <v>GLO-ME-N</v>
      </c>
      <c r="U100" t="str">
        <f t="shared" ca="1" si="35"/>
        <v>insert into Orders values ('Ord-075', '06-May-2020', 'Prod-006', 'Duty and Control', 'Action', 'Lionshine', 'Thunderstorm Studios', 'PEGI-7', 82, '60 Hours', 'Gold', 70, 45.5, 0.35, 0.75, 239, 'LOC-HI-Y');</v>
      </c>
    </row>
    <row r="101" spans="1:21" x14ac:dyDescent="0.25">
      <c r="A101" s="1" t="s">
        <v>4305</v>
      </c>
      <c r="B101" s="11">
        <f t="shared" ca="1" si="23"/>
        <v>43862</v>
      </c>
      <c r="C101" s="3" t="str">
        <f t="shared" ca="1" si="24"/>
        <v>Prod-026</v>
      </c>
      <c r="D101" s="1" t="str">
        <f t="shared" ca="1" si="25"/>
        <v>Honor and Earth</v>
      </c>
      <c r="E101" t="str">
        <f t="shared" ca="1" si="19"/>
        <v>RPG</v>
      </c>
      <c r="F101" t="str">
        <f t="shared" ca="1" si="26"/>
        <v>Heartpoint</v>
      </c>
      <c r="G101" t="str">
        <f t="shared" ca="1" si="27"/>
        <v>Thunderjam Interactive</v>
      </c>
      <c r="H101" t="str">
        <f t="shared" ca="1" si="28"/>
        <v>PEGI-16</v>
      </c>
      <c r="I101" s="6">
        <f t="shared" ca="1" si="29"/>
        <v>92</v>
      </c>
      <c r="J101" t="str">
        <f t="shared" ca="1" si="30"/>
        <v>22 Hours</v>
      </c>
      <c r="K101" t="str">
        <f t="shared" ca="1" si="31"/>
        <v>Standard</v>
      </c>
      <c r="L101" s="7">
        <f t="shared" ca="1" si="36"/>
        <v>20</v>
      </c>
      <c r="M101" s="10">
        <f t="shared" ca="1" si="32"/>
        <v>16</v>
      </c>
      <c r="N101" s="9">
        <f t="shared" ca="1" si="20"/>
        <v>0.2</v>
      </c>
      <c r="O101" s="9">
        <f t="shared" ca="1" si="33"/>
        <v>0.75</v>
      </c>
      <c r="P101">
        <f t="shared" ca="1" si="34"/>
        <v>23</v>
      </c>
      <c r="Q101" t="str">
        <f t="shared" ca="1" si="22"/>
        <v>GLO-ME-N</v>
      </c>
      <c r="U101" t="str">
        <f t="shared" ca="1" si="35"/>
        <v>insert into Orders values ('Ord-076', '28-Mar-2020', 'Prod-016', 'Heaven and Alchemy', 'Adventure', 'Alphacom', 'Blind Raccoon Productions', 'PEGI-3', 87, '31 Hours', 'Standard', 50, 40, 0.2, 0.75, 216, 'LOC-ME-N');</v>
      </c>
    </row>
    <row r="102" spans="1:21" x14ac:dyDescent="0.25">
      <c r="U102" t="str">
        <f t="shared" ca="1" si="35"/>
        <v>insert into Orders values ('Ord-077', '12-Mar-2020', 'Prod-033', 'Warlords of Turmoil', 'Strategy', 'Moondustries', 'Thunderstorm Studios', 'PEGI-16', 77, '76 Hours', 'Gold', 60, 39, 0.35, 0.4, 570, 'GLO-LO-Y');</v>
      </c>
    </row>
    <row r="103" spans="1:21" x14ac:dyDescent="0.25">
      <c r="U103" t="str">
        <f t="shared" ca="1" si="35"/>
        <v>insert into Orders values ('Ord-078', '26-Jan-2020', 'Prod-011', 'Heroic Legacy', 'Adventure', 'Moondustries', 'Scary Lizard Productions', 'PEGI-16', 70, '43 Hours', 'Deluxe', 70, 49, 0.3, 0.4, 433, 'LOC-HI-N');</v>
      </c>
    </row>
    <row r="104" spans="1:21" x14ac:dyDescent="0.25">
      <c r="U104" t="str">
        <f t="shared" ca="1" si="35"/>
        <v>insert into Orders values ('Ord-079', '28-Jan-2020', 'Prod-028', 'Warhunt', 'RPG', 'Fairyhive', 'Moonware Interactive', 'PEGI-12', 74, '6 Hours', 'Gold', 120, 78, 0.35, 0.75, 203, 'LOC-LO-Y');</v>
      </c>
    </row>
    <row r="105" spans="1:21" x14ac:dyDescent="0.25">
      <c r="U105" t="str">
        <f t="shared" ca="1" si="35"/>
        <v>insert into Orders values ('Ord-080', '07-May-2020', 'Prod-019', 'Chronorite', 'Adventure', 'Crypticorps', 'Light Crow Games', 'PEGI-18', 82, '43 Hours', 'Collector', 210, 115.5, 0.45, 0.4, 458, 'GLO-LO-N');</v>
      </c>
    </row>
    <row r="106" spans="1:21" x14ac:dyDescent="0.25">
      <c r="U106" t="str">
        <f t="shared" ca="1" si="35"/>
        <v>insert into Orders values ('Ord-081', '15-Mar-2020', 'Prod-018', 'Bloodscape', 'Adventure', 'Diamond Media', 'Golden Boa Interactive', 'PEGI-18', 70, '5 Hours', 'Standard', 30, 24, 0.2, 0.1, 735, 'LOC-LO-Y');</v>
      </c>
    </row>
    <row r="107" spans="1:21" x14ac:dyDescent="0.25">
      <c r="U107" t="str">
        <f t="shared" ca="1" si="35"/>
        <v>insert into Orders values ('Ord-082', '15-Feb-2020', 'Prod-033', 'Warlords of Turmoil', 'Strategy', 'Surprisystems', 'Rare Spectre Arts', 'PEGI-18', 66, '39 Hours', 'Collector', 250, 137.5, 0.45, 0, 901, 'LOC-LO-Y');</v>
      </c>
    </row>
    <row r="108" spans="1:21" x14ac:dyDescent="0.25">
      <c r="U108" t="str">
        <f t="shared" ca="1" si="35"/>
        <v>insert into Orders values ('Ord-083', '21-Jun-2020', 'Prod-013', 'Monsters of Nightmares', 'Adventure', 'Alphacom', 'Starsoft Productions', 'PEGI-18', 93, '73 Hours', 'Standard', 60, 48, 0.2, 0.4, 514, 'LOC-LO-Y');</v>
      </c>
    </row>
    <row r="109" spans="1:21" x14ac:dyDescent="0.25">
      <c r="U109" t="str">
        <f t="shared" ca="1" si="35"/>
        <v>insert into Orders values ('Ord-084', '10-Jun-2020', 'Prod-033', 'Warlords of Turmoil', 'Strategy', 'Alphacom', 'Fierce Studios', 'PEGI-16', 88, '3 Hours', 'Standard', 30, 24, 0.2, 0.4, 334, 'LOC-LO-Y');</v>
      </c>
    </row>
    <row r="110" spans="1:21" x14ac:dyDescent="0.25">
      <c r="U110" t="str">
        <f t="shared" ca="1" si="35"/>
        <v>insert into Orders values ('Ord-085', '04-Mar-2020', 'Prod-014', 'Wizards of Sorrow', 'Adventure', 'Surprisystems', 'Vagabond Interactive', 'PEGI-12', 100, '48 Hours', 'Gold', 110, 71.5, 0.35, 0.4, 554, 'LOC-HI-Y');</v>
      </c>
    </row>
    <row r="111" spans="1:21" x14ac:dyDescent="0.25">
      <c r="U111" t="str">
        <f t="shared" ca="1" si="35"/>
        <v>insert into Orders values ('Ord-086', '02-Jun-2020', 'Prod-029', 'Magechild', 'RPG', 'Lionshine', 'Moonware Interactive', 'PEGI-18', 58, '5 Hours', 'Collector', 250, 137.5, 0.45, 0.4, 443, 'LOC-HI-Y');</v>
      </c>
    </row>
    <row r="112" spans="1:21" x14ac:dyDescent="0.25">
      <c r="U112" t="str">
        <f t="shared" ca="1" si="35"/>
        <v>insert into Orders values ('Ord-087', '25-Mar-2020', 'Prod-001', 'Red Omen', 'Action', 'Moondustries', 'Dapper Bull Media', 'PEGI-12', 75, '46 Hours', 'Standard', 30, 24, 0.2, 0.1, 685, 'GLO-HI-N');</v>
      </c>
    </row>
    <row r="113" spans="21:21" x14ac:dyDescent="0.25">
      <c r="U113" t="str">
        <f t="shared" ca="1" si="35"/>
        <v>insert into Orders values ('Ord-088', '14-Apr-2020', 'Prod-007', 'Farforce', 'Action', 'Crypticorps', 'Numb Kitten Productions', 'PEGI-18', 70, '13 Hours', 'Gold', 100, 65, 0.35, 0.75, 176, 'GLO-ME-Y');</v>
      </c>
    </row>
    <row r="114" spans="21:21" x14ac:dyDescent="0.25">
      <c r="U114" t="str">
        <f t="shared" ca="1" si="35"/>
        <v>insert into Orders values ('Ord-089', '14-Mar-2020', 'Prod-006', 'Duty and Control', 'Action', 'Alphacom', 'Rare Spectre Arts', 'PEGI-7', 99, '34 Hours', 'Standard', 20, 16, 0.2, 0.1, 680, 'GLO-ME-N');</v>
      </c>
    </row>
    <row r="115" spans="21:21" x14ac:dyDescent="0.25">
      <c r="U115" t="str">
        <f t="shared" ca="1" si="35"/>
        <v>insert into Orders values ('Ord-090', '25-Jan-2020', 'Prod-022', 'Eternal Harvest', 'RPG', 'Alphacom', 'Numb Kitten Productions', 'PEGI-12', 91, '50 Hours', 'Standard', 50, 40, 0.2, 0.4, 433, 'LOC-ME-N');</v>
      </c>
    </row>
    <row r="116" spans="21:21" x14ac:dyDescent="0.25">
      <c r="U116" t="str">
        <f t="shared" ca="1" si="35"/>
        <v>insert into Orders values ('Ord-091', '03-Jan-2020', 'Prod-030', 'Arcanepath', 'RPG', 'Heartpoint', 'Blind Raccoon Productions', 'PEGI-3', 63, '80 Hours', 'Collector', 290, 159.5, 0.45, 0, 977, 'GLO-HI-N');</v>
      </c>
    </row>
    <row r="117" spans="21:21" x14ac:dyDescent="0.25">
      <c r="U117" t="str">
        <f t="shared" ca="1" si="35"/>
        <v>insert into Orders values ('Ord-092', '03-Jan-2020', 'Prod-009', 'Everrain', 'Action', 'Crypticorps', 'Subdomain Game Studios', 'PEGI-18', 55, '51 Hours', 'Collector', 190, 104.5, 0.45, 0.75, 127, 'LOC-LO-Y');</v>
      </c>
    </row>
    <row r="118" spans="21:21" x14ac:dyDescent="0.25">
      <c r="U118" t="str">
        <f t="shared" ca="1" si="35"/>
        <v>insert into Orders values ('Ord-093', '28-May-2020', 'Prod-015', 'Hand and Chronicles', 'Adventure', 'Fairyhive', 'Autotale Arts', 'PEGI-12', 75, '71 Hours', 'Deluxe', 70, 49, 0.3, 0, 852, 'GLO-ME-Y');</v>
      </c>
    </row>
    <row r="119" spans="21:21" x14ac:dyDescent="0.25">
      <c r="U119" t="str">
        <f t="shared" ca="1" si="35"/>
        <v>insert into Orders values ('Ord-094', '25-Mar-2020', 'Prod-004', 'Vengeance of Trickery', 'Action', 'Lionshine', 'Vagabond Interactive', 'PEGI-16', 59, '46 Hours', 'Deluxe', 50, 35, 0.3, 0, 949, 'GLO-LO-Y');</v>
      </c>
    </row>
    <row r="120" spans="21:21" x14ac:dyDescent="0.25">
      <c r="U120" t="str">
        <f t="shared" ca="1" si="35"/>
        <v>insert into Orders values ('Ord-095', '26-Jun-2020', 'Prod-011', 'Heroic Legacy', 'Adventure', 'Alphacom', 'Thunderjam Interactive', 'PEGI-3', 92, '79 Hours', 'Standard', 30, 24, 0.2, 0, 923, 'GLO-HI-Y');</v>
      </c>
    </row>
    <row r="121" spans="21:21" x14ac:dyDescent="0.25">
      <c r="U121" t="str">
        <f t="shared" ca="1" si="35"/>
        <v>insert into Orders values ('Ord-096', '09-Jun-2020', 'Prod-015', 'Hand and Chronicles', 'Adventure', 'Lionshine', 'Fierce Studios', 'PEGI-12', 58, '12 Hours', 'Gold', 110, 71.5, 0.35, 0, 825, 'LOC-HI-N');</v>
      </c>
    </row>
    <row r="122" spans="21:21" x14ac:dyDescent="0.25">
      <c r="U122" t="str">
        <f t="shared" ca="1" si="35"/>
        <v>insert into Orders values ('Ord-097', '14-Apr-2020', 'Prod-012', 'Dark Sect', 'Adventure', 'Cliff Acoustics', 'Thunderjam Interactive', 'PEGI-12', 81, '54 Hours', 'Collector', 220, 121, 0.45, 0.4, 559, 'GLO-ME-Y');</v>
      </c>
    </row>
    <row r="123" spans="21:21" x14ac:dyDescent="0.25">
      <c r="U123" t="str">
        <f t="shared" ca="1" si="35"/>
        <v>insert into Orders values ('Ord-098', '28-Jan-2020', 'Prod-035', 'Legions and Warlords', 'Strategy', 'Diamond Media', 'Honest Door Entertainment', 'PEGI-7', 84, '25 Hours', 'Gold', 120, 78, 0.35, 0.1, 638, 'LOC-HI-Y');</v>
      </c>
    </row>
    <row r="124" spans="21:21" x14ac:dyDescent="0.25">
      <c r="U124" t="str">
        <f t="shared" ca="1" si="35"/>
        <v>insert into Orders values ('Ord-099', '22-Apr-2020', 'Prod-012', 'Dark Sect', 'Adventure', 'Moondustries', 'Vagabond Interactive', 'PEGI-18', 95, '7 Hours', 'Collector', 100, 55, 0.45, 0.4, 537, 'GLO-ME-N');</v>
      </c>
    </row>
    <row r="125" spans="21:21" x14ac:dyDescent="0.25">
      <c r="U125" t="str">
        <f t="shared" ca="1" si="35"/>
        <v>insert into Orders values ('Ord-100', '01-Feb-2020', 'Prod-026', 'Honor and Earth', 'RPG', 'Heartpoint', 'Thunderjam Interactive', 'PEGI-16', 92, '22 Hours', 'Standard', 20, 16, 0.2, 0.75, 23, 'GLO-ME-N');</v>
      </c>
    </row>
  </sheetData>
  <phoneticPr fontId="2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530F3-6072-41AB-902E-4BF2B3EFBD78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832E8-EB2C-4C4E-BBDE-26B63D15FCD9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D8F4-6F4C-4167-91B1-2B73F15335A9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3B2F6-38EF-444F-BBE7-AA308DA7CCBB}">
  <dimension ref="A1"/>
  <sheetViews>
    <sheetView workbookViewId="0">
      <selection activeCell="F28" sqref="F28"/>
    </sheetView>
  </sheetViews>
  <sheetFormatPr defaultRowHeight="13.2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B1FD-8483-434D-9A54-E9D49568C545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9C2B7-0310-4D8F-B916-80ACE7F6CBA8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7604-B9FC-4152-AEA4-D9B4D6854C0F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8EDF-72C9-4D5A-A82B-D5668B2CB915}">
  <dimension ref="A1"/>
  <sheetViews>
    <sheetView topLeftCell="G1" workbookViewId="0"/>
  </sheetViews>
  <sheetFormatPr defaultRowHeight="13.2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54A4-59E6-4688-8840-BA9B206D43C1}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Orders</vt:lpstr>
      <vt:lpstr>Customers</vt:lpstr>
      <vt:lpstr>Consoles</vt:lpstr>
      <vt:lpstr>Games</vt:lpstr>
      <vt:lpstr>Finance</vt:lpstr>
      <vt:lpstr>Publishers</vt:lpstr>
      <vt:lpstr>Employees</vt:lpstr>
      <vt:lpstr>Retail_info</vt:lpstr>
      <vt:lpstr>Branches</vt:lpstr>
      <vt:lpstr>Warehouses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Γιωργος Κατσωνης</cp:lastModifiedBy>
  <dcterms:created xsi:type="dcterms:W3CDTF">2013-02-25T22:34:06Z</dcterms:created>
  <dcterms:modified xsi:type="dcterms:W3CDTF">2020-11-11T21:13:01Z</dcterms:modified>
</cp:coreProperties>
</file>